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69611769-BB3B-4549-9B06-55CD6B4D0C78}" xr6:coauthVersionLast="47" xr6:coauthVersionMax="47" xr10:uidLastSave="{00000000-0000-0000-0000-000000000000}"/>
  <bookViews>
    <workbookView xWindow="1900" yWindow="-16270" windowWidth="24730" windowHeight="1395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2" l="1"/>
  <c r="E85" i="2"/>
  <c r="E84" i="2"/>
  <c r="E83" i="2"/>
  <c r="E82" i="2"/>
  <c r="E81" i="2"/>
  <c r="E80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4" i="2"/>
  <c r="E53" i="2"/>
  <c r="E52" i="2"/>
  <c r="E51" i="2"/>
  <c r="E49" i="2"/>
  <c r="E47" i="2"/>
  <c r="E46" i="2"/>
  <c r="E45" i="2"/>
  <c r="E44" i="2"/>
  <c r="E43" i="2"/>
  <c r="E42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44" i="2"/>
  <c r="D50" i="1" s="1"/>
  <c r="D21" i="2"/>
  <c r="C21" i="2" s="1"/>
  <c r="D54" i="2"/>
  <c r="D60" i="1" s="1"/>
  <c r="D56" i="2"/>
  <c r="D62" i="1" s="1"/>
  <c r="D64" i="2"/>
  <c r="C64" i="2" s="1"/>
  <c r="D41" i="2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D40" i="2"/>
  <c r="C40" i="2" s="1"/>
  <c r="D19" i="2"/>
  <c r="D61" i="2"/>
  <c r="D67" i="1" s="1"/>
  <c r="C61" i="2"/>
  <c r="D38" i="2"/>
  <c r="D44" i="1" s="1"/>
  <c r="D81" i="2"/>
  <c r="D86" i="1" s="1"/>
  <c r="D22" i="2"/>
  <c r="D28" i="1" s="1"/>
  <c r="D55" i="2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C48" i="2" l="1"/>
  <c r="E48" i="2"/>
  <c r="C50" i="2"/>
  <c r="E50" i="2" s="1"/>
  <c r="C55" i="2"/>
  <c r="F55" i="2" s="1"/>
  <c r="D47" i="1"/>
  <c r="C19" i="2"/>
  <c r="F19" i="2" s="1"/>
  <c r="D26" i="1"/>
  <c r="D84" i="1"/>
  <c r="C6" i="2"/>
  <c r="C41" i="2"/>
  <c r="E41" i="2" s="1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E79" i="2" s="1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0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E55" i="2" l="1"/>
  <c r="E19" i="2"/>
  <c r="F9" i="2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<sst xmlns="http://schemas.openxmlformats.org/spreadsheetml/2006/main" count="1025" uniqueCount="305">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</sst>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24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C0C0C0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46034.391368287033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29</v>
      </c>
    </row>
    <row r="7" spans="1:5">
      <c r="A7" s="38" t="s">
        <v>5</v>
      </c>
      <c r="B7" s="26">
        <f ca="1">COUNTIF('NextDC M1'!E:E,"OK")</f>
        <v>16</v>
      </c>
    </row>
    <row r="8" spans="1:5">
      <c r="A8" t="s">
        <v>6</v>
      </c>
      <c r="B8" s="27">
        <f ca="1">COUNTIF('NextDC M1'!E:E,"UNSCHEDULED")</f>
        <v>40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15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27" workbookViewId="0">
      <selection activeCell="D51" sqref="D51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23" priority="1" stopIfTrue="1">
      <formula>$D5="Decommissioned"</formula>
    </cfRule>
    <cfRule type="expression" dxfId="22" priority="2" stopIfTrue="1">
      <formula>$D5="Pending"</formula>
    </cfRule>
    <cfRule type="expression" dxfId="21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topLeftCell="A22" zoomScale="85" zoomScaleNormal="85" workbookViewId="0">
      <pane xSplit="1" topLeftCell="B1" activePane="topRight" state="frozen"/>
      <selection pane="topRight" activeCell="I48" sqref="I48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IF(H2="Decommissioned","DECOMMISSIONED",IF(OR(A2="",B2="",D2="No Date"),"UNSCHEDULED",IF(C2&lt;TODAY(),"OVERDUE","OK")))</f>
        <v>OVERDUE</v>
      </c>
      <c r="F2" s="3">
        <f t="shared" ref="F2:F33" ca="1" si="4">IF(AND(ISNUMBER(C2),C2&lt;&gt;0),C2-TODAY(),"N/A")</f>
        <v>-65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-64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-8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-15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35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34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-64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-100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-100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-100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-100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-100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-76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35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>
        <f t="shared" si="1"/>
        <v>46052</v>
      </c>
      <c r="D20" s="28">
        <f t="shared" si="2"/>
        <v>45992</v>
      </c>
      <c r="E20" s="3" t="str">
        <f t="shared" ca="1" si="3"/>
        <v>OK</v>
      </c>
      <c r="F20" s="3">
        <f t="shared" ca="1" si="4"/>
        <v>18</v>
      </c>
      <c r="G20" s="3" t="str">
        <f t="shared" si="5"/>
        <v>Decommissioned</v>
      </c>
      <c r="H20" s="28"/>
      <c r="I20" s="31">
        <v>45992</v>
      </c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t="shared" ca="1" si="3"/>
        <v>OK</v>
      </c>
      <c r="F25" s="3">
        <f t="shared" ca="1" si="4"/>
        <v>92</v>
      </c>
      <c r="G25" s="3" t="str">
        <f t="shared" si="5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t="shared" ca="1" si="3"/>
        <v>OK</v>
      </c>
      <c r="F26" s="3">
        <f t="shared" ca="1" si="4"/>
        <v>92</v>
      </c>
      <c r="G26" s="3" t="str">
        <f t="shared" si="5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49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IF(H34="Decommissioned","DECOMMISSIONED",IF(OR(A34="",B34="",D34="No Date"),"UNSCHEDULED",IF(C34&lt;TODAY(),"OVERDUE","OK")))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-94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-94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-99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6"/>
        <v>3</v>
      </c>
      <c r="C38" s="28">
        <f t="shared" si="7"/>
        <v>45995</v>
      </c>
      <c r="D38" s="28">
        <f t="shared" si="8"/>
        <v>45905</v>
      </c>
      <c r="E38" s="3" t="str">
        <f t="shared" ca="1" si="9"/>
        <v>OVERDUE</v>
      </c>
      <c r="F38" s="3">
        <f t="shared" ca="1" si="10"/>
        <v>-39</v>
      </c>
      <c r="G38" s="3" t="str">
        <f t="shared" si="11"/>
        <v>Decommissioned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6"/>
        <v>2</v>
      </c>
      <c r="C41" s="28">
        <f t="shared" si="7"/>
        <v>46091</v>
      </c>
      <c r="D41" s="28">
        <f t="shared" si="8"/>
        <v>46031</v>
      </c>
      <c r="E41" s="3" t="str">
        <f t="shared" ca="1" si="9"/>
        <v>OK</v>
      </c>
      <c r="F41" s="3">
        <f t="shared" ca="1" si="10"/>
        <v>57</v>
      </c>
      <c r="G41" s="3" t="str">
        <f t="shared" si="11"/>
        <v>Active</v>
      </c>
      <c r="H41" s="28"/>
      <c r="I41" s="31">
        <v>46031</v>
      </c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57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35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6"/>
        <v>2</v>
      </c>
      <c r="C44" s="28">
        <f t="shared" si="7"/>
        <v>46068</v>
      </c>
      <c r="D44" s="28">
        <f t="shared" si="8"/>
        <v>46008</v>
      </c>
      <c r="E44" s="3" t="str">
        <f t="shared" ca="1" si="9"/>
        <v>OK</v>
      </c>
      <c r="F44" s="3">
        <f t="shared" ca="1" si="10"/>
        <v>34</v>
      </c>
      <c r="G44" s="3" t="str">
        <f t="shared" si="11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6"/>
        <v>2</v>
      </c>
      <c r="C48" s="28">
        <f t="shared" si="7"/>
        <v>45729</v>
      </c>
      <c r="D48" s="28">
        <f t="shared" si="8"/>
        <v>45669</v>
      </c>
      <c r="E48" s="3" t="str">
        <f t="shared" ca="1" si="9"/>
        <v>OVERDUE</v>
      </c>
      <c r="F48" s="3">
        <f t="shared" ca="1" si="10"/>
        <v>-305</v>
      </c>
      <c r="G48" s="3" t="str">
        <f t="shared" si="11"/>
        <v>Decommissioned</v>
      </c>
      <c r="H48" s="28"/>
      <c r="I48" s="31">
        <v>45669</v>
      </c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6"/>
        <v>2</v>
      </c>
      <c r="C50" s="28">
        <f t="shared" si="7"/>
        <v>45729</v>
      </c>
      <c r="D50" s="28">
        <f t="shared" si="8"/>
        <v>45669</v>
      </c>
      <c r="E50" s="3" t="str">
        <f t="shared" ca="1" si="9"/>
        <v>OVERDUE</v>
      </c>
      <c r="F50" s="3">
        <f t="shared" ca="1" si="10"/>
        <v>-305</v>
      </c>
      <c r="G50" s="3" t="str">
        <f t="shared" si="11"/>
        <v>Decommissioned</v>
      </c>
      <c r="H50" s="28"/>
      <c r="I50" s="31">
        <v>45669</v>
      </c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55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-23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31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-23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31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-23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2">IFERROR(VLOOKUP(A66,MasterServerData,3,FALSE),"")</f>
        <v>1</v>
      </c>
      <c r="C66" s="28">
        <f t="shared" ref="C66:C86" si="13">IFERROR(IF(OR(B66="",NOT(ISNUMBER(B66)),NOT(ISNUMBER(D66))),"No date",D66+VLOOKUP(B66,PriorityTable,2,FALSE)),"No date")</f>
        <v>46011</v>
      </c>
      <c r="D66" s="28">
        <f t="shared" ref="D66:D86" si="14">IF(COUNT(I66:ZY66)=0,"No Date",MAX(I66:ZY66))</f>
        <v>45981</v>
      </c>
      <c r="E66" s="3" t="str">
        <f t="shared" ref="E66:E86" ca="1" si="15">IF(H66="Decommissioned","DECOMMISSIONED",IF(OR(A66="",B66="",D66="No Date"),"UNSCHEDULED",IF(C66&lt;TODAY(),"OVERDUE","OK")))</f>
        <v>OVERDUE</v>
      </c>
      <c r="F66" s="3">
        <f t="shared" ref="F66:F86" ca="1" si="16">IF(AND(ISNUMBER(C66),C66&lt;&gt;0),C66-TODAY(),"N/A")</f>
        <v>-23</v>
      </c>
      <c r="G66" s="3" t="str">
        <f t="shared" ref="G66:G86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-64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-64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8">IFERROR(VLOOKUP(A69,MasterServerData,3,FALSE),"")</f>
        <v>2</v>
      </c>
      <c r="C69" s="28">
        <f t="shared" ref="C69" si="19">IFERROR(IF(OR(B69="",NOT(ISNUMBER(B69)),NOT(ISNUMBER(D69))),"No date",D69+VLOOKUP(B69,PriorityTable,2,FALSE)),"No date")</f>
        <v>46068</v>
      </c>
      <c r="D69" s="28">
        <f t="shared" ref="D69" si="20">IF(COUNT(I69:ZY69)=0,"No Date",MAX(I69:ZY69))</f>
        <v>46008</v>
      </c>
      <c r="E69" s="3" t="str">
        <f t="shared" ca="1" si="15"/>
        <v>OK</v>
      </c>
      <c r="F69" s="3">
        <f t="shared" ref="F69" ca="1" si="21">IF(AND(ISNUMBER(C69),C69&lt;&gt;0),C69-TODAY(),"N/A")</f>
        <v>34</v>
      </c>
      <c r="G69" s="3" t="str">
        <f t="shared" ref="G69" si="22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2"/>
        <v>2</v>
      </c>
      <c r="C70" s="28">
        <f t="shared" si="13"/>
        <v>45970</v>
      </c>
      <c r="D70" s="28">
        <f t="shared" si="14"/>
        <v>45910</v>
      </c>
      <c r="E70" s="3" t="str">
        <f t="shared" ca="1" si="15"/>
        <v>OVERDUE</v>
      </c>
      <c r="F70" s="3">
        <f t="shared" ca="1" si="16"/>
        <v>-64</v>
      </c>
      <c r="G70" s="3" t="str">
        <f t="shared" si="17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2"/>
        <v>2</v>
      </c>
      <c r="C71" s="28">
        <f t="shared" si="13"/>
        <v>45969</v>
      </c>
      <c r="D71" s="28">
        <f t="shared" si="14"/>
        <v>45909</v>
      </c>
      <c r="E71" s="3" t="str">
        <f t="shared" ca="1" si="15"/>
        <v>OVERDUE</v>
      </c>
      <c r="F71" s="3">
        <f t="shared" ca="1" si="16"/>
        <v>-65</v>
      </c>
      <c r="G71" s="3" t="str">
        <f t="shared" si="17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-64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-64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2"/>
        <v>2</v>
      </c>
      <c r="C74" s="28">
        <f t="shared" si="13"/>
        <v>45970</v>
      </c>
      <c r="D74" s="28">
        <f t="shared" si="14"/>
        <v>45910</v>
      </c>
      <c r="E74" s="3" t="str">
        <f t="shared" ca="1" si="15"/>
        <v>OVERDUE</v>
      </c>
      <c r="F74" s="3">
        <f t="shared" ca="1" si="16"/>
        <v>-64</v>
      </c>
      <c r="G74" s="3" t="str">
        <f t="shared" si="17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2"/>
        <v>2</v>
      </c>
      <c r="C75" s="28">
        <f t="shared" si="13"/>
        <v>45970</v>
      </c>
      <c r="D75" s="28">
        <f t="shared" si="14"/>
        <v>45910</v>
      </c>
      <c r="E75" s="3" t="str">
        <f t="shared" ca="1" si="15"/>
        <v>OVERDUE</v>
      </c>
      <c r="F75" s="3">
        <f t="shared" ca="1" si="16"/>
        <v>-64</v>
      </c>
      <c r="G75" s="3" t="str">
        <f t="shared" si="17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2"/>
        <v>3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2"/>
        <v>2</v>
      </c>
      <c r="C77" s="28" t="str">
        <f t="shared" si="13"/>
        <v>No date</v>
      </c>
      <c r="D77" s="28" t="str">
        <f t="shared" si="14"/>
        <v>No Date</v>
      </c>
      <c r="E77" s="3" t="str">
        <f t="shared" ca="1" si="15"/>
        <v>UNSCHEDULED</v>
      </c>
      <c r="F77" s="3" t="str">
        <f t="shared" ca="1" si="16"/>
        <v>N/A</v>
      </c>
      <c r="G77" s="3" t="str">
        <f t="shared" si="17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2"/>
        <v>2</v>
      </c>
      <c r="C78" s="28">
        <f t="shared" si="13"/>
        <v>46091</v>
      </c>
      <c r="D78" s="28">
        <f t="shared" si="14"/>
        <v>46031</v>
      </c>
      <c r="E78" s="3" t="str">
        <f t="shared" ca="1" si="15"/>
        <v>OK</v>
      </c>
      <c r="F78" s="3">
        <f t="shared" ca="1" si="16"/>
        <v>57</v>
      </c>
      <c r="G78" s="3" t="str">
        <f t="shared" si="17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2"/>
        <v>2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2"/>
        <v>3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2"/>
        <v>2</v>
      </c>
      <c r="C86" s="28" t="str">
        <f t="shared" si="13"/>
        <v>No date</v>
      </c>
      <c r="D86" s="28" t="str">
        <f t="shared" si="14"/>
        <v>No Date</v>
      </c>
      <c r="E86" s="3" t="str">
        <f t="shared" ca="1" si="15"/>
        <v>UNSCHEDULED</v>
      </c>
      <c r="F86" s="3" t="str">
        <f t="shared" ca="1" si="16"/>
        <v>N/A</v>
      </c>
      <c r="G86" s="3" t="str">
        <f t="shared" si="17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J86:R86 T86 F87:T99 A87:D99 J2:T69 J72:T85 K70:T71">
    <cfRule type="expression" dxfId="20" priority="9">
      <formula>$Z2="Decommissioned"</formula>
    </cfRule>
  </conditionalFormatting>
  <conditionalFormatting sqref="AA2:ZY99 A87:D99 J2:T69 F87:T99 K70:T71 J72:T86">
    <cfRule type="expression" dxfId="19" priority="16" stopIfTrue="1">
      <formula>$G2="Decommissioned"</formula>
    </cfRule>
  </conditionalFormatting>
  <conditionalFormatting sqref="C87:C99">
    <cfRule type="expression" dxfId="18" priority="7" stopIfTrue="1">
      <formula>AND(ISNUMBER(C87),C87&lt;TODAY())</formula>
    </cfRule>
    <cfRule type="expression" dxfId="17" priority="8" stopIfTrue="1">
      <formula>AND(ISNUMBER(C87),C87&gt;=TODAY(),C87&lt;TODAY()+WarningDays)</formula>
    </cfRule>
  </conditionalFormatting>
  <conditionalFormatting sqref="E87:E99">
    <cfRule type="cellIs" dxfId="16" priority="17" stopIfTrue="1" operator="equal">
      <formula>"OVERDUE"</formula>
    </cfRule>
    <cfRule type="cellIs" dxfId="15" priority="18" stopIfTrue="1" operator="equal">
      <formula>"OK"</formula>
    </cfRule>
    <cfRule type="cellIs" dxfId="14" priority="19" stopIfTrue="1" operator="equal">
      <formula>"UNSCHEDULED"</formula>
    </cfRule>
  </conditionalFormatting>
  <conditionalFormatting sqref="J70">
    <cfRule type="expression" dxfId="13" priority="21">
      <formula>$Z70="Decommissioned"</formula>
    </cfRule>
  </conditionalFormatting>
  <conditionalFormatting sqref="J70">
    <cfRule type="expression" dxfId="12" priority="23" stopIfTrue="1">
      <formula>$G70="Decommissioned"</formula>
    </cfRule>
  </conditionalFormatting>
  <conditionalFormatting sqref="A2:I86">
    <cfRule type="expression" dxfId="3" priority="24" stopIfTrue="1">
      <formula>$H2="Decommissioned"</formula>
    </cfRule>
  </conditionalFormatting>
  <conditionalFormatting sqref="E2:E86">
    <cfRule type="cellIs" dxfId="2" priority="25" operator="equal">
      <formula>"OVERDUE"</formula>
    </cfRule>
    <cfRule type="cellIs" dxfId="1" priority="26" operator="equal">
      <formula>"OK"</formula>
    </cfRule>
    <cfRule type="cellIs" dxfId="0" priority="27" operator="equal">
      <formula>"UNSCHEDULED"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>
        <f>IFERROR(VLOOKUP(A26,'NextDC M1'!A:D,4,FALSE),"")</f>
        <v>45992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45905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>
        <f>IFERROR(VLOOKUP(A47,'NextDC M1'!A:D,4,FALSE),"")</f>
        <v>46031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>
        <f>IFERROR(VLOOKUP(A54,'NextDC M1'!A:D,4,FALSE),"")</f>
        <v>45669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>
        <f>IFERROR(VLOOKUP(A56,'NextDC M1'!A:D,4,FALSE),"")</f>
        <v>45669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6" priority="3">
      <formula>AND($A2=2, DATEDIF(INDIRECT("Schedule!C"&amp;ROW()+8), TODAY(), "m") &gt; 6)</formula>
    </cfRule>
    <cfRule type="expression" dxfId="5" priority="4">
      <formula>AND(DATEDIF(INDIRECT("Schedule!C"&amp;ROW()+8), TODAY(), "m") &gt; 3, DATEDIF(INDIRECT("Schedule!C"&amp;ROW()+8), TODAY(), "m") &lt;= 6)</formula>
    </cfRule>
    <cfRule type="expression" dxfId="4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2026-01-11T22:23:39Z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