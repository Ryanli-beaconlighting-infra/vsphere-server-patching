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024E651E-C274-4524-88A8-9CAE8D2855FE}" xr6:coauthVersionLast="47" xr6:coauthVersionMax="47" xr10:uidLastSave="{00000000-0000-0000-0000-000000000000}"/>
  <bookViews>
    <workbookView xWindow="5550" yWindow="-1975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47" i="1" s="1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C50" i="2" s="1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C48" i="2" s="1"/>
  <c r="D40" i="2"/>
  <c r="C40" i="2" s="1"/>
  <c r="D19" i="2"/>
  <c r="D61" i="2"/>
  <c r="D67" i="1" s="1"/>
  <c r="C61" i="2"/>
  <c r="D38" i="2"/>
  <c r="D44" i="1" s="1"/>
  <c r="D81" i="2"/>
  <c r="D86" i="1" s="1"/>
  <c r="D22" i="2"/>
  <c r="D28" i="1" s="1"/>
  <c r="D55" i="2"/>
  <c r="C55" i="2" s="1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C19" i="2" l="1"/>
  <c r="F19" i="2" s="1"/>
  <c r="D26" i="1"/>
  <c r="D84" i="1"/>
  <c r="C6" i="2"/>
  <c r="C41" i="2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E79" i="2" s="1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55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0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E19" i="2" l="1"/>
  <c r="F9" i="2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<sst xmlns="http://schemas.openxmlformats.org/spreadsheetml/2006/main" count="1025" uniqueCount="305">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</sst>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4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C0C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C0C0C0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46031.727484490744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27</v>
      </c>
    </row>
    <row r="7" spans="1:5">
      <c r="A7" s="38" t="s">
        <v>5</v>
      </c>
      <c r="B7" s="26">
        <f ca="1">COUNTIF('NextDC M1'!E:E,"OK")</f>
        <v>15</v>
      </c>
    </row>
    <row r="8" spans="1:5">
      <c r="A8" t="s">
        <v>6</v>
      </c>
      <c r="B8" s="27">
        <f ca="1">COUNTIF('NextDC M1'!E:E,"UNSCHEDULED")</f>
        <v>43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13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41" sqref="D4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3" priority="1" stopIfTrue="1">
      <formula>$D5="Decommissioned"</formula>
    </cfRule>
    <cfRule type="expression" dxfId="22" priority="2" stopIfTrue="1">
      <formula>$D5="Pending"</formula>
    </cfRule>
    <cfRule type="expression" dxfId="21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ySplit="1" topLeftCell="A33" activePane="bottomLeft" state="frozen"/>
      <selection pane="bottomLeft" activeCell="I79" sqref="I79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t="shared" ca="1" si="3"/>
        <v>OK</v>
      </c>
      <c r="F20" s="3">
        <f t="shared" ca="1" si="4"/>
        <v>21</v>
      </c>
      <c r="G20" s="3" t="str">
        <f t="shared" si="5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95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95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Decommissioned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37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Decommissioned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Decommissioned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-20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37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-61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-62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-61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-61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60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I86:R86 T86 F87:T99 A87:D99 I2:T69 I72:T85 I70:I71 K70:T71">
    <cfRule type="expression" dxfId="20" priority="9">
      <formula>$Z2="Decommissioned"</formula>
    </cfRule>
  </conditionalFormatting>
  <conditionalFormatting sqref="AA2:ZY99 A87:D99 I2:T69 F87:T99 I70:I71 K70:T71 I72:T86">
    <cfRule type="expression" dxfId="19" priority="16" stopIfTrue="1">
      <formula>$G2="Decommissioned"</formula>
    </cfRule>
  </conditionalFormatting>
  <conditionalFormatting sqref="C87:C99">
    <cfRule type="expression" dxfId="18" priority="7" stopIfTrue="1">
      <formula>AND(ISNUMBER(C87),C87&lt;TODAY())</formula>
    </cfRule>
    <cfRule type="expression" dxfId="17" priority="8" stopIfTrue="1">
      <formula>AND(ISNUMBER(C87),C87&gt;=TODAY(),C87&lt;TODAY()+WarningDays)</formula>
    </cfRule>
  </conditionalFormatting>
  <conditionalFormatting sqref="E87:E99">
    <cfRule type="cellIs" dxfId="16" priority="17" stopIfTrue="1" operator="equal">
      <formula>"OVERDUE"</formula>
    </cfRule>
    <cfRule type="cellIs" dxfId="15" priority="18" stopIfTrue="1" operator="equal">
      <formula>"OK"</formula>
    </cfRule>
    <cfRule type="cellIs" dxfId="14" priority="19" stopIfTrue="1" operator="equal">
      <formula>"UNSCHEDULED"</formula>
    </cfRule>
  </conditionalFormatting>
  <conditionalFormatting sqref="J70">
    <cfRule type="expression" dxfId="13" priority="21">
      <formula>$Z70="Decommissioned"</formula>
    </cfRule>
  </conditionalFormatting>
  <conditionalFormatting sqref="J70">
    <cfRule type="expression" dxfId="12" priority="23" stopIfTrue="1">
      <formula>$G70="Decommissioned"</formula>
    </cfRule>
  </conditionalFormatting>
  <conditionalFormatting sqref="A2:D86 F2:H86">
    <cfRule type="expression" dxfId="11" priority="24" stopIfTrue="1">
      <formula>$H2="Decommissioned"</formula>
    </cfRule>
  </conditionalFormatting>
  <conditionalFormatting sqref="E2:E86">
    <cfRule type="expression" dxfId="3" priority="25" stopIfTrue="1">
      <formula>$H2="Decommissioned"</formula>
    </cfRule>
    <cfRule type="cellIs" dxfId="2" priority="26" operator="equal">
      <formula>"OVERDUE"</formula>
    </cfRule>
    <cfRule type="cellIs" dxfId="1" priority="27" operator="equal">
      <formula>"OK"</formula>
    </cfRule>
    <cfRule type="cellIs" dxfId="0" priority="28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45905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 t="str">
        <f>IFERROR(VLOOKUP(A47,'NextDC M1'!A:D,4,FALSE),"")</f>
        <v>No Date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 t="str">
        <f>IFERROR(VLOOKUP(A54,'NextDC M1'!A:D,4,FALSE),"")</f>
        <v>No Date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 t="str">
        <f>IFERROR(VLOOKUP(A56,'NextDC M1'!A:D,4,FALSE),"")</f>
        <v>No Date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2026-01-09T06:27:37Z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