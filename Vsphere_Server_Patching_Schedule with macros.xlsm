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DB8E1EC4-91A0-4134-AC2A-3C63930BEC64}" xr6:coauthVersionLast="47" xr6:coauthVersionMax="47" xr10:uidLastSave="{00000000-0000-0000-0000-000000000000}"/>
  <bookViews>
    <workbookView xWindow="-5470" yWindow="-1965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26" i="1" s="1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D84" i="1" l="1"/>
  <c r="C6" i="2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19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9" i="2" l="1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<sst xmlns="http://schemas.openxmlformats.org/spreadsheetml/2006/main" count="1025" uniqueCount="305">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</sst>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9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46031.717105439813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14</v>
      </c>
    </row>
    <row r="8" spans="1:5">
      <c r="A8" t="s">
        <v>6</v>
      </c>
      <c r="B8" s="27">
        <f ca="1">COUNTIF('NextDC M1'!E:E,"UNSCHEDULED")</f>
        <v>44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41" sqref="D4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8" priority="1" stopIfTrue="1">
      <formula>$D5="Decommissioned"</formula>
    </cfRule>
    <cfRule type="expression" dxfId="27" priority="2" stopIfTrue="1">
      <formula>$D5="Pending"</formula>
    </cfRule>
    <cfRule type="expression" dxfId="26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ySplit="1" topLeftCell="A19" activePane="bottomLeft" state="frozen"/>
      <selection pane="bottomLeft" activeCell="G38" sqref="G38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ca="1">IF($H2="Decommissioned","DECOMMISSIONED",IF(OR(A2="",B2="",D2="No Date"),"UNSCHEDULED",IF(C2&lt;TODAY(),"OVERDUE","OK")))</f>
        <v>OVERDUE</v>
      </c>
      <c r="F2" s="3">
        <f t="shared" ref="F2:F33" ca="1" si="3">IF(AND(ISNUMBER(C2),C2&lt;&gt;0),C2-TODAY(),"N/A")</f>
        <v>-62</v>
      </c>
      <c r="G2" s="3" t="str">
        <f t="shared" ref="G2:G33" si="4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ca="1">IF($H3="Decommissioned","DECOMMISSIONED",IF(OR(A3="",B3="",D3="No Date"),"UNSCHEDULED",IF(C3&lt;TODAY(),"OVERDUE","OK")))</f>
        <v>OVERDUE</v>
      </c>
      <c r="F3" s="3">
        <f t="shared" ca="1" si="3"/>
        <v>-61</v>
      </c>
      <c r="G3" s="3" t="str">
        <f t="shared" si="4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ca="1">IF($H4="Decommissioned","DECOMMISSIONED",IF(OR(A4="",B4="",D4="No Date"),"UNSCHEDULED",IF(C4&lt;TODAY(),"OVERDUE","OK")))</f>
        <v>OVERDUE</v>
      </c>
      <c r="F4" s="3">
        <f t="shared" ca="1" si="3"/>
        <v>-5</v>
      </c>
      <c r="G4" s="3" t="str">
        <f t="shared" si="4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ca="1">IF($H5="Decommissioned","DECOMMISSIONED",IF(OR(A5="",B5="",D5="No Date"),"UNSCHEDULED",IF(C5&lt;TODAY(),"OVERDUE","OK")))</f>
        <v>OVERDUE</v>
      </c>
      <c r="F5" s="3">
        <f t="shared" ca="1" si="3"/>
        <v>-12</v>
      </c>
      <c r="G5" s="3" t="str">
        <f t="shared" si="4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ca="1">IF($H6="Decommissioned","DECOMMISSIONED",IF(OR(A6="",B6="",D6="No Date"),"UNSCHEDULED",IF(C6&lt;TODAY(),"OVERDUE","OK")))</f>
        <v>UNSCHEDULED</v>
      </c>
      <c r="F6" s="3" t="str">
        <f t="shared" ca="1" si="3"/>
        <v>N/A</v>
      </c>
      <c r="G6" s="3" t="str">
        <f t="shared" si="4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ca="1">IF($H7="Decommissioned","DECOMMISSIONED",IF(OR(A7="",B7="",D7="No Date"),"UNSCHEDULED",IF(C7&lt;TODAY(),"OVERDUE","OK")))</f>
        <v>OK</v>
      </c>
      <c r="F7" s="3">
        <f t="shared" ca="1" si="3"/>
        <v>38</v>
      </c>
      <c r="G7" s="3" t="str">
        <f t="shared" si="4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ca="1">IF($H8="Decommissioned","DECOMMISSIONED",IF(OR(A8="",B8="",D8="No Date"),"UNSCHEDULED",IF(C8&lt;TODAY(),"OVERDUE","OK")))</f>
        <v>OK</v>
      </c>
      <c r="F8" s="3">
        <f t="shared" ca="1" si="3"/>
        <v>37</v>
      </c>
      <c r="G8" s="3" t="str">
        <f t="shared" si="4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ca="1">IF($H9="Decommissioned","DECOMMISSIONED",IF(OR(A9="",B9="",D9="No Date"),"UNSCHEDULED",IF(C9&lt;TODAY(),"OVERDUE","OK")))</f>
        <v>OVERDUE</v>
      </c>
      <c r="F9" s="3">
        <f t="shared" ca="1" si="3"/>
        <v>-61</v>
      </c>
      <c r="G9" s="3" t="str">
        <f t="shared" si="4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ca="1">IF($H10="Decommissioned","DECOMMISSIONED",IF(OR(A10="",B10="",D10="No Date"),"UNSCHEDULED",IF(C10&lt;TODAY(),"OVERDUE","OK")))</f>
        <v>OVERDUE</v>
      </c>
      <c r="F10" s="3">
        <f t="shared" ca="1" si="3"/>
        <v>-97</v>
      </c>
      <c r="G10" s="3" t="str">
        <f t="shared" si="4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ca="1">IF($H11="Decommissioned","DECOMMISSIONED",IF(OR(A11="",B11="",D11="No Date"),"UNSCHEDULED",IF(C11&lt;TODAY(),"OVERDUE","OK")))</f>
        <v>OVERDUE</v>
      </c>
      <c r="F11" s="3">
        <f t="shared" ca="1" si="3"/>
        <v>-97</v>
      </c>
      <c r="G11" s="3" t="str">
        <f t="shared" si="4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ca="1">IF($H12="Decommissioned","DECOMMISSIONED",IF(OR(A12="",B12="",D12="No Date"),"UNSCHEDULED",IF(C12&lt;TODAY(),"OVERDUE","OK")))</f>
        <v>OVERDUE</v>
      </c>
      <c r="F12" s="3">
        <f t="shared" ca="1" si="3"/>
        <v>-97</v>
      </c>
      <c r="G12" s="3" t="str">
        <f t="shared" si="4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ca="1">IF($H13="Decommissioned","DECOMMISSIONED",IF(OR(A13="",B13="",D13="No Date"),"UNSCHEDULED",IF(C13&lt;TODAY(),"OVERDUE","OK")))</f>
        <v>OVERDUE</v>
      </c>
      <c r="F13" s="3">
        <f t="shared" ca="1" si="3"/>
        <v>-97</v>
      </c>
      <c r="G13" s="3" t="str">
        <f t="shared" si="4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ca="1">IF($H14="Decommissioned","DECOMMISSIONED",IF(OR(A14="",B14="",D14="No Date"),"UNSCHEDULED",IF(C14&lt;TODAY(),"OVERDUE","OK")))</f>
        <v>OVERDUE</v>
      </c>
      <c r="F14" s="3">
        <f t="shared" ca="1" si="3"/>
        <v>-97</v>
      </c>
      <c r="G14" s="3" t="str">
        <f t="shared" si="4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ca="1">IF($H15="Decommissioned","DECOMMISSIONED",IF(OR(A15="",B15="",D15="No Date"),"UNSCHEDULED",IF(C15&lt;TODAY(),"OVERDUE","OK")))</f>
        <v>OVERDUE</v>
      </c>
      <c r="F15" s="3">
        <f t="shared" ca="1" si="3"/>
        <v>-73</v>
      </c>
      <c r="G15" s="3" t="str">
        <f t="shared" si="4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ca="1">IF($H16="Decommissioned","DECOMMISSIONED",IF(OR(A16="",B16="",D16="No Date"),"UNSCHEDULED",IF(C16&lt;TODAY(),"OVERDUE","OK")))</f>
        <v>UNSCHEDULED</v>
      </c>
      <c r="F16" s="3" t="str">
        <f t="shared" ca="1" si="3"/>
        <v>N/A</v>
      </c>
      <c r="G16" s="3" t="str">
        <f t="shared" si="4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ca="1">IF($H17="Decommissioned","DECOMMISSIONED",IF(OR(A17="",B17="",D17="No Date"),"UNSCHEDULED",IF(C17&lt;TODAY(),"OVERDUE","OK")))</f>
        <v>UNSCHEDULED</v>
      </c>
      <c r="F17" s="3" t="str">
        <f t="shared" ca="1" si="3"/>
        <v>N/A</v>
      </c>
      <c r="G17" s="3" t="str">
        <f t="shared" si="4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ca="1">IF($H18="Decommissioned","DECOMMISSIONED",IF(OR(A18="",B18="",D18="No Date"),"UNSCHEDULED",IF(C18&lt;TODAY(),"OVERDUE","OK")))</f>
        <v>OK</v>
      </c>
      <c r="F18" s="3">
        <f t="shared" ca="1" si="3"/>
        <v>38</v>
      </c>
      <c r="G18" s="3" t="str">
        <f t="shared" si="4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ca="1">IF($H19="Decommissioned","DECOMMISSIONED",IF(OR(A19="",B19="",D19="No Date"),"UNSCHEDULED",IF(C19&lt;TODAY(),"OVERDUE","OK")))</f>
        <v>UNSCHEDULED</v>
      </c>
      <c r="F19" s="3" t="str">
        <f t="shared" ca="1" si="3"/>
        <v>N/A</v>
      </c>
      <c r="G19" s="3" t="str">
        <f t="shared" si="4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ca="1">IF($H20="Decommissioned","DECOMMISSIONED",IF(OR(A20="",B20="",D20="No Date"),"UNSCHEDULED",IF(C20&lt;TODAY(),"OVERDUE","OK")))</f>
        <v>UNSCHEDULED</v>
      </c>
      <c r="F20" s="3" t="str">
        <f t="shared" ca="1" si="3"/>
        <v>N/A</v>
      </c>
      <c r="G20" s="3" t="str">
        <f t="shared" si="4"/>
        <v>Decommissioned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ca="1">IF($H21="Decommissioned","DECOMMISSIONED",IF(OR(A21="",B21="",D21="No Date"),"UNSCHEDULED",IF(C21&lt;TODAY(),"OVERDUE","OK")))</f>
        <v>UNSCHEDULED</v>
      </c>
      <c r="F21" s="3" t="str">
        <f t="shared" ca="1" si="3"/>
        <v>N/A</v>
      </c>
      <c r="G21" s="3" t="str">
        <f t="shared" si="4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ca="1">IF($H22="Decommissioned","DECOMMISSIONED",IF(OR(A22="",B22="",D22="No Date"),"UNSCHEDULED",IF(C22&lt;TODAY(),"OVERDUE","OK")))</f>
        <v>UNSCHEDULED</v>
      </c>
      <c r="F22" s="3" t="str">
        <f t="shared" ca="1" si="3"/>
        <v>N/A</v>
      </c>
      <c r="G22" s="3" t="str">
        <f t="shared" si="4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ca="1">IF($H23="Decommissioned","DECOMMISSIONED",IF(OR(A23="",B23="",D23="No Date"),"UNSCHEDULED",IF(C23&lt;TODAY(),"OVERDUE","OK")))</f>
        <v>UNSCHEDULED</v>
      </c>
      <c r="F23" s="3" t="str">
        <f t="shared" ca="1" si="3"/>
        <v>N/A</v>
      </c>
      <c r="G23" s="3" t="str">
        <f t="shared" si="4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ca="1">IF($H24="Decommissioned","DECOMMISSIONED",IF(OR(A24="",B24="",D24="No Date"),"UNSCHEDULED",IF(C24&lt;TODAY(),"OVERDUE","OK")))</f>
        <v>UNSCHEDULED</v>
      </c>
      <c r="F24" s="3" t="str">
        <f t="shared" ca="1" si="3"/>
        <v>N/A</v>
      </c>
      <c r="G24" s="3" t="str">
        <f t="shared" si="4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ca="1">IF($H25="Decommissioned","DECOMMISSIONED",IF(OR(A25="",B25="",D25="No Date"),"UNSCHEDULED",IF(C25&lt;TODAY(),"OVERDUE","OK")))</f>
        <v>OK</v>
      </c>
      <c r="F25" s="3">
        <f t="shared" ca="1" si="3"/>
        <v>95</v>
      </c>
      <c r="G25" s="3" t="str">
        <f t="shared" si="4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ca="1">IF($H26="Decommissioned","DECOMMISSIONED",IF(OR(A26="",B26="",D26="No Date"),"UNSCHEDULED",IF(C26&lt;TODAY(),"OVERDUE","OK")))</f>
        <v>OK</v>
      </c>
      <c r="F26" s="3">
        <f t="shared" ca="1" si="3"/>
        <v>95</v>
      </c>
      <c r="G26" s="3" t="str">
        <f t="shared" si="4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ca="1">IF($H27="Decommissioned","DECOMMISSIONED",IF(OR(A27="",B27="",D27="No Date"),"UNSCHEDULED",IF(C27&lt;TODAY(),"OVERDUE","OK")))</f>
        <v>UNSCHEDULED</v>
      </c>
      <c r="F27" s="3" t="str">
        <f t="shared" ca="1" si="3"/>
        <v>N/A</v>
      </c>
      <c r="G27" s="3" t="str">
        <f t="shared" si="4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ca="1">IF($H28="Decommissioned","DECOMMISSIONED",IF(OR(A28="",B28="",D28="No Date"),"UNSCHEDULED",IF(C28&lt;TODAY(),"OVERDUE","OK")))</f>
        <v>OK</v>
      </c>
      <c r="F28" s="3">
        <f t="shared" ca="1" si="3"/>
        <v>52</v>
      </c>
      <c r="G28" s="3" t="str">
        <f t="shared" si="4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ca="1">IF($H29="Decommissioned","DECOMMISSIONED",IF(OR(A29="",B29="",D29="No Date"),"UNSCHEDULED",IF(C29&lt;TODAY(),"OVERDUE","OK")))</f>
        <v>UNSCHEDULED</v>
      </c>
      <c r="F29" s="3" t="str">
        <f t="shared" ca="1" si="3"/>
        <v>N/A</v>
      </c>
      <c r="G29" s="3" t="str">
        <f t="shared" si="4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ca="1">IF($H30="Decommissioned","DECOMMISSIONED",IF(OR(A30="",B30="",D30="No Date"),"UNSCHEDULED",IF(C30&lt;TODAY(),"OVERDUE","OK")))</f>
        <v>UNSCHEDULED</v>
      </c>
      <c r="F30" s="3" t="str">
        <f t="shared" ca="1" si="3"/>
        <v>N/A</v>
      </c>
      <c r="G30" s="3" t="str">
        <f t="shared" si="4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ca="1">IF($H31="Decommissioned","DECOMMISSIONED",IF(OR(A31="",B31="",D31="No Date"),"UNSCHEDULED",IF(C31&lt;TODAY(),"OVERDUE","OK")))</f>
        <v>UNSCHEDULED</v>
      </c>
      <c r="F31" s="3" t="str">
        <f t="shared" ca="1" si="3"/>
        <v>N/A</v>
      </c>
      <c r="G31" s="3" t="str">
        <f t="shared" si="4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ca="1">IF($H32="Decommissioned","DECOMMISSIONED",IF(OR(A32="",B32="",D32="No Date"),"UNSCHEDULED",IF(C32&lt;TODAY(),"OVERDUE","OK")))</f>
        <v>UNSCHEDULED</v>
      </c>
      <c r="F32" s="3" t="str">
        <f t="shared" ca="1" si="3"/>
        <v>N/A</v>
      </c>
      <c r="G32" s="3" t="str">
        <f t="shared" si="4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ca="1">IF($H33="Decommissioned","DECOMMISSIONED",IF(OR(A33="",B33="",D33="No Date"),"UNSCHEDULED",IF(C33&lt;TODAY(),"OVERDUE","OK")))</f>
        <v>UNSCHEDULED</v>
      </c>
      <c r="F33" s="3" t="str">
        <f t="shared" ca="1" si="3"/>
        <v>N/A</v>
      </c>
      <c r="G33" s="3" t="str">
        <f t="shared" si="4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5">IFERROR(VLOOKUP(A34,MasterServerData,3,FALSE),"")</f>
        <v>1</v>
      </c>
      <c r="C34" s="28" t="str">
        <f t="shared" ref="C34:C65" si="6">IFERROR(IF(OR(B34="",NOT(ISNUMBER(B34)),NOT(ISNUMBER(D34))),"No date",D34+VLOOKUP(B34,PriorityTable,2,FALSE)),"No date")</f>
        <v>No date</v>
      </c>
      <c r="D34" s="28" t="str">
        <f t="shared" ref="D34:D65" si="7">IF(COUNT(I34:ZY34)=0,"No Date",MAX(I34:ZY34))</f>
        <v>No Date</v>
      </c>
      <c r="E34" s="3" t="str">
        <f ca="1">IF($H34="Decommissioned","DECOMMISSIONED",IF(OR(A34="",B34="",D34="No Date"),"UNSCHEDULED",IF(C34&lt;TODAY(),"OVERDUE","OK")))</f>
        <v>UNSCHEDULED</v>
      </c>
      <c r="F34" s="3" t="str">
        <f t="shared" ref="F34:F65" ca="1" si="8">IF(AND(ISNUMBER(C34),C34&lt;&gt;0),C34-TODAY(),"N/A")</f>
        <v>N/A</v>
      </c>
      <c r="G34" s="3" t="str">
        <f t="shared" ref="G34:G65" si="9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5"/>
        <v>1</v>
      </c>
      <c r="C35" s="28">
        <f t="shared" si="6"/>
        <v>45940</v>
      </c>
      <c r="D35" s="28">
        <f t="shared" si="7"/>
        <v>45910</v>
      </c>
      <c r="E35" s="3" t="str">
        <f ca="1">IF($H35="Decommissioned","DECOMMISSIONED",IF(OR(A35="",B35="",D35="No Date"),"UNSCHEDULED",IF(C35&lt;TODAY(),"OVERDUE","OK")))</f>
        <v>OVERDUE</v>
      </c>
      <c r="F35" s="3">
        <f t="shared" ca="1" si="8"/>
        <v>-91</v>
      </c>
      <c r="G35" s="3" t="str">
        <f t="shared" si="9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5"/>
        <v>1</v>
      </c>
      <c r="C36" s="28">
        <f t="shared" si="6"/>
        <v>45940</v>
      </c>
      <c r="D36" s="28">
        <f t="shared" si="7"/>
        <v>45910</v>
      </c>
      <c r="E36" s="3" t="str">
        <f ca="1">IF($H36="Decommissioned","DECOMMISSIONED",IF(OR(A36="",B36="",D36="No Date"),"UNSCHEDULED",IF(C36&lt;TODAY(),"OVERDUE","OK")))</f>
        <v>OVERDUE</v>
      </c>
      <c r="F36" s="3">
        <f t="shared" ca="1" si="8"/>
        <v>-91</v>
      </c>
      <c r="G36" s="3" t="str">
        <f t="shared" si="9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5"/>
        <v>1</v>
      </c>
      <c r="C37" s="28">
        <f t="shared" si="6"/>
        <v>45935</v>
      </c>
      <c r="D37" s="28">
        <f t="shared" si="7"/>
        <v>45905</v>
      </c>
      <c r="E37" s="3" t="str">
        <f ca="1">IF($H37="Decommissioned","DECOMMISSIONED",IF(OR(A37="",B37="",D37="No Date"),"UNSCHEDULED",IF(C37&lt;TODAY(),"OVERDUE","OK")))</f>
        <v>OVERDUE</v>
      </c>
      <c r="F37" s="3">
        <f t="shared" ca="1" si="8"/>
        <v>-96</v>
      </c>
      <c r="G37" s="3" t="str">
        <f t="shared" si="9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5"/>
        <v>3</v>
      </c>
      <c r="C38" s="28">
        <f t="shared" si="6"/>
        <v>45995</v>
      </c>
      <c r="D38" s="28">
        <f t="shared" si="7"/>
        <v>45905</v>
      </c>
      <c r="E38" s="3" t="str">
        <f ca="1">IF($H38="Decommissioned","DECOMMISSIONED",IF(OR(A38="",B38="",D38="No Date"),"UNSCHEDULED",IF(C38&lt;TODAY(),"OVERDUE","OK")))</f>
        <v>OVERDUE</v>
      </c>
      <c r="F38" s="3">
        <f t="shared" ca="1" si="8"/>
        <v>-36</v>
      </c>
      <c r="G38" s="3" t="str">
        <f t="shared" si="9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5"/>
        <v>2</v>
      </c>
      <c r="C39" s="28" t="str">
        <f t="shared" si="6"/>
        <v>No date</v>
      </c>
      <c r="D39" s="28" t="str">
        <f t="shared" si="7"/>
        <v>No Date</v>
      </c>
      <c r="E39" s="3" t="str">
        <f ca="1">IF($H39="Decommissioned","DECOMMISSIONED",IF(OR(A39="",B39="",D39="No Date"),"UNSCHEDULED",IF(C39&lt;TODAY(),"OVERDUE","OK")))</f>
        <v>UNSCHEDULED</v>
      </c>
      <c r="F39" s="3" t="str">
        <f t="shared" ca="1" si="8"/>
        <v>N/A</v>
      </c>
      <c r="G39" s="3" t="str">
        <f t="shared" si="9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5"/>
        <v>2</v>
      </c>
      <c r="C40" s="28" t="str">
        <f t="shared" si="6"/>
        <v>No date</v>
      </c>
      <c r="D40" s="28" t="str">
        <f t="shared" si="7"/>
        <v>No Date</v>
      </c>
      <c r="E40" s="3" t="str">
        <f ca="1">IF($H40="Decommissioned","DECOMMISSIONED",IF(OR(A40="",B40="",D40="No Date"),"UNSCHEDULED",IF(C40&lt;TODAY(),"OVERDUE","OK")))</f>
        <v>UNSCHEDULED</v>
      </c>
      <c r="F40" s="3" t="str">
        <f t="shared" ca="1" si="8"/>
        <v>N/A</v>
      </c>
      <c r="G40" s="3" t="str">
        <f t="shared" si="9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5"/>
        <v>2</v>
      </c>
      <c r="C41" s="28" t="str">
        <f t="shared" si="6"/>
        <v>No date</v>
      </c>
      <c r="D41" s="28" t="str">
        <f t="shared" si="7"/>
        <v>No Date</v>
      </c>
      <c r="E41" s="3" t="str">
        <f ca="1">IF($H41="Decommissioned","DECOMMISSIONED",IF(OR(A41="",B41="",D41="No Date"),"UNSCHEDULED",IF(C41&lt;TODAY(),"OVERDUE","OK")))</f>
        <v>UNSCHEDULED</v>
      </c>
      <c r="F41" s="3" t="str">
        <f t="shared" ca="1" si="8"/>
        <v>N/A</v>
      </c>
      <c r="G41" s="3" t="str">
        <f t="shared" si="9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5"/>
        <v>2</v>
      </c>
      <c r="C42" s="28">
        <f t="shared" si="6"/>
        <v>46091</v>
      </c>
      <c r="D42" s="28">
        <f t="shared" si="7"/>
        <v>46031</v>
      </c>
      <c r="E42" s="3" t="str">
        <f ca="1">IF($H42="Decommissioned","DECOMMISSIONED",IF(OR(A42="",B42="",D42="No Date"),"UNSCHEDULED",IF(C42&lt;TODAY(),"OVERDUE","OK")))</f>
        <v>OK</v>
      </c>
      <c r="F42" s="3">
        <f t="shared" ca="1" si="8"/>
        <v>60</v>
      </c>
      <c r="G42" s="3" t="str">
        <f t="shared" si="9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5"/>
        <v>2</v>
      </c>
      <c r="C43" s="28">
        <f t="shared" si="6"/>
        <v>46069</v>
      </c>
      <c r="D43" s="28">
        <f t="shared" si="7"/>
        <v>46009</v>
      </c>
      <c r="E43" s="3" t="str">
        <f ca="1">IF($H43="Decommissioned","DECOMMISSIONED",IF(OR(A43="",B43="",D43="No Date"),"UNSCHEDULED",IF(C43&lt;TODAY(),"OVERDUE","OK")))</f>
        <v>OK</v>
      </c>
      <c r="F43" s="3">
        <f t="shared" ca="1" si="8"/>
        <v>38</v>
      </c>
      <c r="G43" s="3" t="str">
        <f t="shared" si="9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5"/>
        <v>2</v>
      </c>
      <c r="C44" s="28">
        <f t="shared" si="6"/>
        <v>46068</v>
      </c>
      <c r="D44" s="28">
        <f t="shared" si="7"/>
        <v>46008</v>
      </c>
      <c r="E44" s="3" t="str">
        <f ca="1">IF($H44="Decommissioned","DECOMMISSIONED",IF(OR(A44="",B44="",D44="No Date"),"UNSCHEDULED",IF(C44&lt;TODAY(),"OVERDUE","OK")))</f>
        <v>OK</v>
      </c>
      <c r="F44" s="3">
        <f t="shared" ca="1" si="8"/>
        <v>37</v>
      </c>
      <c r="G44" s="3" t="str">
        <f t="shared" si="9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5"/>
        <v>3</v>
      </c>
      <c r="C45" s="28" t="str">
        <f t="shared" si="6"/>
        <v>No date</v>
      </c>
      <c r="D45" s="28" t="str">
        <f t="shared" si="7"/>
        <v>No Date</v>
      </c>
      <c r="E45" s="3" t="str">
        <f ca="1">IF($H45="Decommissioned","DECOMMISSIONED",IF(OR(A45="",B45="",D45="No Date"),"UNSCHEDULED",IF(C45&lt;TODAY(),"OVERDUE","OK")))</f>
        <v>UNSCHEDULED</v>
      </c>
      <c r="F45" s="3" t="str">
        <f t="shared" ca="1" si="8"/>
        <v>N/A</v>
      </c>
      <c r="G45" s="3" t="str">
        <f t="shared" si="9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5"/>
        <v>2</v>
      </c>
      <c r="C46" s="28" t="str">
        <f t="shared" si="6"/>
        <v>No date</v>
      </c>
      <c r="D46" s="28" t="str">
        <f t="shared" si="7"/>
        <v>No Date</v>
      </c>
      <c r="E46" s="3" t="str">
        <f ca="1">IF($H46="Decommissioned","DECOMMISSIONED",IF(OR(A46="",B46="",D46="No Date"),"UNSCHEDULED",IF(C46&lt;TODAY(),"OVERDUE","OK")))</f>
        <v>UNSCHEDULED</v>
      </c>
      <c r="F46" s="3" t="str">
        <f t="shared" ca="1" si="8"/>
        <v>N/A</v>
      </c>
      <c r="G46" s="3" t="str">
        <f t="shared" si="9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5"/>
        <v>2</v>
      </c>
      <c r="C47" s="28" t="str">
        <f t="shared" si="6"/>
        <v>No date</v>
      </c>
      <c r="D47" s="28" t="str">
        <f t="shared" si="7"/>
        <v>No Date</v>
      </c>
      <c r="E47" s="3" t="str">
        <f ca="1">IF($H47="Decommissioned","DECOMMISSIONED",IF(OR(A47="",B47="",D47="No Date"),"UNSCHEDULED",IF(C47&lt;TODAY(),"OVERDUE","OK")))</f>
        <v>UNSCHEDULED</v>
      </c>
      <c r="F47" s="3" t="str">
        <f t="shared" ca="1" si="8"/>
        <v>N/A</v>
      </c>
      <c r="G47" s="3" t="str">
        <f t="shared" si="9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5"/>
        <v>2</v>
      </c>
      <c r="C48" s="28" t="str">
        <f t="shared" si="6"/>
        <v>No date</v>
      </c>
      <c r="D48" s="28" t="str">
        <f t="shared" si="7"/>
        <v>No Date</v>
      </c>
      <c r="E48" s="3" t="str">
        <f ca="1">IF($H48="Decommissioned","DECOMMISSIONED",IF(OR(A48="",B48="",D48="No Date"),"UNSCHEDULED",IF(C48&lt;TODAY(),"OVERDUE","OK")))</f>
        <v>UNSCHEDULED</v>
      </c>
      <c r="F48" s="3" t="str">
        <f t="shared" ca="1" si="8"/>
        <v>N/A</v>
      </c>
      <c r="G48" s="3" t="str">
        <f t="shared" si="9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5"/>
        <v>1</v>
      </c>
      <c r="C49" s="28" t="str">
        <f t="shared" si="6"/>
        <v>No date</v>
      </c>
      <c r="D49" s="28" t="str">
        <f t="shared" si="7"/>
        <v>No Date</v>
      </c>
      <c r="E49" s="3" t="str">
        <f ca="1">IF($H49="Decommissioned","DECOMMISSIONED",IF(OR(A49="",B49="",D49="No Date"),"UNSCHEDULED",IF(C49&lt;TODAY(),"OVERDUE","OK")))</f>
        <v>UNSCHEDULED</v>
      </c>
      <c r="F49" s="3" t="str">
        <f t="shared" ca="1" si="8"/>
        <v>N/A</v>
      </c>
      <c r="G49" s="3" t="str">
        <f t="shared" si="9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5"/>
        <v>2</v>
      </c>
      <c r="C50" s="28" t="str">
        <f t="shared" si="6"/>
        <v>No date</v>
      </c>
      <c r="D50" s="28" t="str">
        <f t="shared" si="7"/>
        <v>No Date</v>
      </c>
      <c r="E50" s="3" t="str">
        <f ca="1">IF($H50="Decommissioned","DECOMMISSIONED",IF(OR(A50="",B50="",D50="No Date"),"UNSCHEDULED",IF(C50&lt;TODAY(),"OVERDUE","OK")))</f>
        <v>UNSCHEDULED</v>
      </c>
      <c r="F50" s="3" t="str">
        <f t="shared" ca="1" si="8"/>
        <v>N/A</v>
      </c>
      <c r="G50" s="3" t="str">
        <f t="shared" si="9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5"/>
        <v>2</v>
      </c>
      <c r="C51" s="28" t="str">
        <f t="shared" si="6"/>
        <v>No date</v>
      </c>
      <c r="D51" s="28" t="str">
        <f t="shared" si="7"/>
        <v>No Date</v>
      </c>
      <c r="E51" s="3" t="str">
        <f ca="1">IF($H51="Decommissioned","DECOMMISSIONED",IF(OR(A51="",B51="",D51="No Date"),"UNSCHEDULED",IF(C51&lt;TODAY(),"OVERDUE","OK")))</f>
        <v>UNSCHEDULED</v>
      </c>
      <c r="F51" s="3" t="str">
        <f t="shared" ca="1" si="8"/>
        <v>N/A</v>
      </c>
      <c r="G51" s="3" t="str">
        <f t="shared" si="9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5"/>
        <v>2</v>
      </c>
      <c r="C52" s="28" t="str">
        <f t="shared" si="6"/>
        <v>No date</v>
      </c>
      <c r="D52" s="30" t="str">
        <f t="shared" si="7"/>
        <v>No Date</v>
      </c>
      <c r="E52" s="3" t="str">
        <f ca="1">IF($H52="Decommissioned","DECOMMISSIONED",IF(OR(A52="",B52="",D52="No Date"),"UNSCHEDULED",IF(C52&lt;TODAY(),"OVERDUE","OK")))</f>
        <v>UNSCHEDULED</v>
      </c>
      <c r="F52" s="3" t="str">
        <f t="shared" ca="1" si="8"/>
        <v>N/A</v>
      </c>
      <c r="G52" s="3" t="str">
        <f t="shared" si="9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5"/>
        <v>2</v>
      </c>
      <c r="C53" s="28" t="str">
        <f t="shared" si="6"/>
        <v>No date</v>
      </c>
      <c r="D53" s="28" t="str">
        <f t="shared" si="7"/>
        <v>No Date</v>
      </c>
      <c r="E53" s="3" t="str">
        <f ca="1">IF($H53="Decommissioned","DECOMMISSIONED",IF(OR(A53="",B53="",D53="No Date"),"UNSCHEDULED",IF(C53&lt;TODAY(),"OVERDUE","OK")))</f>
        <v>UNSCHEDULED</v>
      </c>
      <c r="F53" s="3" t="str">
        <f t="shared" ca="1" si="8"/>
        <v>N/A</v>
      </c>
      <c r="G53" s="3" t="str">
        <f t="shared" si="9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5"/>
        <v>2</v>
      </c>
      <c r="C54" s="28" t="str">
        <f t="shared" si="6"/>
        <v>No date</v>
      </c>
      <c r="D54" s="28" t="str">
        <f t="shared" si="7"/>
        <v>No Date</v>
      </c>
      <c r="E54" s="3" t="str">
        <f ca="1">IF($H54="Decommissioned","DECOMMISSIONED",IF(OR(A54="",B54="",D54="No Date"),"UNSCHEDULED",IF(C54&lt;TODAY(),"OVERDUE","OK")))</f>
        <v>UNSCHEDULED</v>
      </c>
      <c r="F54" s="3" t="str">
        <f t="shared" ca="1" si="8"/>
        <v>N/A</v>
      </c>
      <c r="G54" s="3" t="str">
        <f t="shared" si="9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5"/>
        <v>2</v>
      </c>
      <c r="C55" s="28" t="str">
        <f t="shared" si="6"/>
        <v>No date</v>
      </c>
      <c r="D55" s="28" t="str">
        <f t="shared" si="7"/>
        <v>No Date</v>
      </c>
      <c r="E55" s="3" t="str">
        <f ca="1">IF($H55="Decommissioned","DECOMMISSIONED",IF(OR(A55="",B55="",D55="No Date"),"UNSCHEDULED",IF(C55&lt;TODAY(),"OVERDUE","OK")))</f>
        <v>UNSCHEDULED</v>
      </c>
      <c r="F55" s="3" t="str">
        <f t="shared" ca="1" si="8"/>
        <v>N/A</v>
      </c>
      <c r="G55" s="3" t="str">
        <f t="shared" si="9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5"/>
        <v>2</v>
      </c>
      <c r="C56" s="28" t="str">
        <f t="shared" si="6"/>
        <v>No date</v>
      </c>
      <c r="D56" s="28" t="str">
        <f t="shared" si="7"/>
        <v>No Date</v>
      </c>
      <c r="E56" s="3" t="str">
        <f ca="1">IF($H56="Decommissioned","DECOMMISSIONED",IF(OR(A56="",B56="",D56="No Date"),"UNSCHEDULED",IF(C56&lt;TODAY(),"OVERDUE","OK")))</f>
        <v>UNSCHEDULED</v>
      </c>
      <c r="F56" s="3" t="str">
        <f t="shared" ca="1" si="8"/>
        <v>N/A</v>
      </c>
      <c r="G56" s="3" t="str">
        <f t="shared" si="9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5"/>
        <v>3</v>
      </c>
      <c r="C57" s="28" t="str">
        <f t="shared" si="6"/>
        <v>No date</v>
      </c>
      <c r="D57" s="28" t="str">
        <f t="shared" si="7"/>
        <v>No Date</v>
      </c>
      <c r="E57" s="3" t="str">
        <f ca="1">IF($H57="Decommissioned","DECOMMISSIONED",IF(OR(A57="",B57="",D57="No Date"),"UNSCHEDULED",IF(C57&lt;TODAY(),"OVERDUE","OK")))</f>
        <v>UNSCHEDULED</v>
      </c>
      <c r="F57" s="3" t="str">
        <f t="shared" ca="1" si="8"/>
        <v>N/A</v>
      </c>
      <c r="G57" s="3" t="str">
        <f t="shared" si="9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5"/>
        <v>2</v>
      </c>
      <c r="C58" s="28" t="str">
        <f t="shared" si="6"/>
        <v>No date</v>
      </c>
      <c r="D58" s="28" t="str">
        <f t="shared" si="7"/>
        <v>No Date</v>
      </c>
      <c r="E58" s="3" t="str">
        <f ca="1">IF($H58="Decommissioned","DECOMMISSIONED",IF(OR(A58="",B58="",D58="No Date"),"UNSCHEDULED",IF(C58&lt;TODAY(),"OVERDUE","OK")))</f>
        <v>UNSCHEDULED</v>
      </c>
      <c r="F58" s="3" t="str">
        <f t="shared" ca="1" si="8"/>
        <v>N/A</v>
      </c>
      <c r="G58" s="3" t="str">
        <f t="shared" si="9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5"/>
        <v>2</v>
      </c>
      <c r="C59" s="28" t="str">
        <f t="shared" si="6"/>
        <v>No date</v>
      </c>
      <c r="D59" s="28" t="str">
        <f t="shared" si="7"/>
        <v>No Date</v>
      </c>
      <c r="E59" s="3" t="str">
        <f ca="1">IF($H59="Decommissioned","DECOMMISSIONED",IF(OR(A59="",B59="",D59="No Date"),"UNSCHEDULED",IF(C59&lt;TODAY(),"OVERDUE","OK")))</f>
        <v>UNSCHEDULED</v>
      </c>
      <c r="F59" s="3" t="str">
        <f t="shared" ca="1" si="8"/>
        <v>N/A</v>
      </c>
      <c r="G59" s="3" t="str">
        <f t="shared" si="9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5"/>
        <v>2</v>
      </c>
      <c r="C60" s="28">
        <f t="shared" si="6"/>
        <v>46089</v>
      </c>
      <c r="D60" s="28">
        <f t="shared" si="7"/>
        <v>46029</v>
      </c>
      <c r="E60" s="3" t="str">
        <f ca="1">IF($H60="Decommissioned","DECOMMISSIONED",IF(OR(A60="",B60="",D60="No Date"),"UNSCHEDULED",IF(C60&lt;TODAY(),"OVERDUE","OK")))</f>
        <v>OK</v>
      </c>
      <c r="F60" s="3">
        <f t="shared" ca="1" si="8"/>
        <v>58</v>
      </c>
      <c r="G60" s="3" t="str">
        <f t="shared" si="9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5"/>
        <v>1</v>
      </c>
      <c r="C61" s="28">
        <f t="shared" si="6"/>
        <v>46011</v>
      </c>
      <c r="D61" s="28">
        <f t="shared" si="7"/>
        <v>45981</v>
      </c>
      <c r="E61" s="3" t="str">
        <f ca="1">IF($H61="Decommissioned","DECOMMISSIONED",IF(OR(A61="",B61="",D61="No Date"),"UNSCHEDULED",IF(C61&lt;TODAY(),"OVERDUE","OK")))</f>
        <v>OVERDUE</v>
      </c>
      <c r="F61" s="3">
        <f t="shared" ca="1" si="8"/>
        <v>-20</v>
      </c>
      <c r="G61" s="3" t="str">
        <f t="shared" si="9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5"/>
        <v>3</v>
      </c>
      <c r="C62" s="28">
        <f t="shared" si="6"/>
        <v>46065</v>
      </c>
      <c r="D62" s="28">
        <f t="shared" si="7"/>
        <v>45975</v>
      </c>
      <c r="E62" s="3" t="str">
        <f ca="1">IF($H62="Decommissioned","DECOMMISSIONED",IF(OR(A62="",B62="",D62="No Date"),"UNSCHEDULED",IF(C62&lt;TODAY(),"OVERDUE","OK")))</f>
        <v>OK</v>
      </c>
      <c r="F62" s="3">
        <f t="shared" ca="1" si="8"/>
        <v>34</v>
      </c>
      <c r="G62" s="3" t="str">
        <f t="shared" si="9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5"/>
        <v>1</v>
      </c>
      <c r="C63" s="28">
        <f t="shared" si="6"/>
        <v>46011</v>
      </c>
      <c r="D63" s="28">
        <f t="shared" si="7"/>
        <v>45981</v>
      </c>
      <c r="E63" s="3" t="str">
        <f ca="1">IF($H63="Decommissioned","DECOMMISSIONED",IF(OR(A63="",B63="",D63="No Date"),"UNSCHEDULED",IF(C63&lt;TODAY(),"OVERDUE","OK")))</f>
        <v>OVERDUE</v>
      </c>
      <c r="F63" s="3">
        <f t="shared" ca="1" si="8"/>
        <v>-20</v>
      </c>
      <c r="G63" s="3" t="str">
        <f t="shared" si="9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5"/>
        <v>3</v>
      </c>
      <c r="C64" s="28">
        <f t="shared" si="6"/>
        <v>46065</v>
      </c>
      <c r="D64" s="28">
        <f t="shared" si="7"/>
        <v>45975</v>
      </c>
      <c r="E64" s="3" t="str">
        <f ca="1">IF($H64="Decommissioned","DECOMMISSIONED",IF(OR(A64="",B64="",D64="No Date"),"UNSCHEDULED",IF(C64&lt;TODAY(),"OVERDUE","OK")))</f>
        <v>OK</v>
      </c>
      <c r="F64" s="3">
        <f t="shared" ca="1" si="8"/>
        <v>34</v>
      </c>
      <c r="G64" s="3" t="str">
        <f t="shared" si="9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5"/>
        <v>1</v>
      </c>
      <c r="C65" s="28">
        <f t="shared" si="6"/>
        <v>46011</v>
      </c>
      <c r="D65" s="28">
        <f t="shared" si="7"/>
        <v>45981</v>
      </c>
      <c r="E65" s="3" t="str">
        <f ca="1">IF($H65="Decommissioned","DECOMMISSIONED",IF(OR(A65="",B65="",D65="No Date"),"UNSCHEDULED",IF(C65&lt;TODAY(),"OVERDUE","OK")))</f>
        <v>OVERDUE</v>
      </c>
      <c r="F65" s="3">
        <f t="shared" ca="1" si="8"/>
        <v>-20</v>
      </c>
      <c r="G65" s="3" t="str">
        <f t="shared" si="9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0">IFERROR(VLOOKUP(A66,MasterServerData,3,FALSE),"")</f>
        <v>1</v>
      </c>
      <c r="C66" s="28">
        <f t="shared" ref="C66:C86" si="11">IFERROR(IF(OR(B66="",NOT(ISNUMBER(B66)),NOT(ISNUMBER(D66))),"No date",D66+VLOOKUP(B66,PriorityTable,2,FALSE)),"No date")</f>
        <v>46011</v>
      </c>
      <c r="D66" s="28">
        <f t="shared" ref="D66:D86" si="12">IF(COUNT(I66:ZY66)=0,"No Date",MAX(I66:ZY66))</f>
        <v>45981</v>
      </c>
      <c r="E66" s="3" t="str">
        <f ca="1">IF($H66="Decommissioned","DECOMMISSIONED",IF(OR(A66="",B66="",D66="No Date"),"UNSCHEDULED",IF(C66&lt;TODAY(),"OVERDUE","OK")))</f>
        <v>OVERDUE</v>
      </c>
      <c r="F66" s="3">
        <f t="shared" ref="F66:F86" ca="1" si="13">IF(AND(ISNUMBER(C66),C66&lt;&gt;0),C66-TODAY(),"N/A")</f>
        <v>-20</v>
      </c>
      <c r="G66" s="3" t="str">
        <f t="shared" ref="G66:G86" si="14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0"/>
        <v>2</v>
      </c>
      <c r="C67" s="28">
        <f t="shared" si="11"/>
        <v>45970</v>
      </c>
      <c r="D67" s="28">
        <f t="shared" si="12"/>
        <v>45910</v>
      </c>
      <c r="E67" s="3" t="str">
        <f ca="1">IF($H67="Decommissioned","DECOMMISSIONED",IF(OR(A67="",B67="",D67="No Date"),"UNSCHEDULED",IF(C67&lt;TODAY(),"OVERDUE","OK")))</f>
        <v>OVERDUE</v>
      </c>
      <c r="F67" s="3">
        <f t="shared" ca="1" si="13"/>
        <v>-61</v>
      </c>
      <c r="G67" s="3" t="str">
        <f t="shared" si="14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0"/>
        <v>2</v>
      </c>
      <c r="C68" s="28">
        <f t="shared" si="11"/>
        <v>45970</v>
      </c>
      <c r="D68" s="28">
        <f t="shared" si="12"/>
        <v>45910</v>
      </c>
      <c r="E68" s="3" t="str">
        <f ca="1">IF($H68="Decommissioned","DECOMMISSIONED",IF(OR(A68="",B68="",D68="No Date"),"UNSCHEDULED",IF(C68&lt;TODAY(),"OVERDUE","OK")))</f>
        <v>OVERDUE</v>
      </c>
      <c r="F68" s="3">
        <f t="shared" ca="1" si="13"/>
        <v>-61</v>
      </c>
      <c r="G68" s="3" t="str">
        <f t="shared" si="14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5">IFERROR(VLOOKUP(A69,MasterServerData,3,FALSE),"")</f>
        <v>2</v>
      </c>
      <c r="C69" s="28">
        <f t="shared" ref="C69" si="16">IFERROR(IF(OR(B69="",NOT(ISNUMBER(B69)),NOT(ISNUMBER(D69))),"No date",D69+VLOOKUP(B69,PriorityTable,2,FALSE)),"No date")</f>
        <v>46068</v>
      </c>
      <c r="D69" s="28">
        <f t="shared" ref="D69" si="17">IF(COUNT(I69:ZY69)=0,"No Date",MAX(I69:ZY69))</f>
        <v>46008</v>
      </c>
      <c r="E69" s="3" t="str">
        <f ca="1">IF($H69="Decommissioned","DECOMMISSIONED",IF(OR(A69="",B69="",D69="No Date"),"UNSCHEDULED",IF(C69&lt;TODAY(),"OVERDUE","OK")))</f>
        <v>OK</v>
      </c>
      <c r="F69" s="3">
        <f t="shared" ref="F69" ca="1" si="18">IF(AND(ISNUMBER(C69),C69&lt;&gt;0),C69-TODAY(),"N/A")</f>
        <v>37</v>
      </c>
      <c r="G69" s="3" t="str">
        <f t="shared" ref="G69" si="19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0"/>
        <v>2</v>
      </c>
      <c r="C70" s="28">
        <f t="shared" si="11"/>
        <v>45970</v>
      </c>
      <c r="D70" s="28">
        <f t="shared" si="12"/>
        <v>45910</v>
      </c>
      <c r="E70" s="3" t="str">
        <f ca="1">IF($H70="Decommissioned","DECOMMISSIONED",IF(OR(A70="",B70="",D70="No Date"),"UNSCHEDULED",IF(C70&lt;TODAY(),"OVERDUE","OK")))</f>
        <v>OVERDUE</v>
      </c>
      <c r="F70" s="3">
        <f t="shared" ca="1" si="13"/>
        <v>-61</v>
      </c>
      <c r="G70" s="3" t="str">
        <f t="shared" si="14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0"/>
        <v>2</v>
      </c>
      <c r="C71" s="28">
        <f t="shared" si="11"/>
        <v>45969</v>
      </c>
      <c r="D71" s="28">
        <f t="shared" si="12"/>
        <v>45909</v>
      </c>
      <c r="E71" s="3" t="str">
        <f ca="1">IF($H71="Decommissioned","DECOMMISSIONED",IF(OR(A71="",B71="",D71="No Date"),"UNSCHEDULED",IF(C71&lt;TODAY(),"OVERDUE","OK")))</f>
        <v>OVERDUE</v>
      </c>
      <c r="F71" s="3">
        <f t="shared" ca="1" si="13"/>
        <v>-62</v>
      </c>
      <c r="G71" s="3" t="str">
        <f t="shared" si="14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0"/>
        <v>2</v>
      </c>
      <c r="C72" s="28">
        <f t="shared" si="11"/>
        <v>45970</v>
      </c>
      <c r="D72" s="28">
        <f t="shared" si="12"/>
        <v>45910</v>
      </c>
      <c r="E72" s="3" t="str">
        <f ca="1">IF($H72="Decommissioned","DECOMMISSIONED",IF(OR(A72="",B72="",D72="No Date"),"UNSCHEDULED",IF(C72&lt;TODAY(),"OVERDUE","OK")))</f>
        <v>OVERDUE</v>
      </c>
      <c r="F72" s="3">
        <f t="shared" ca="1" si="13"/>
        <v>-61</v>
      </c>
      <c r="G72" s="3" t="str">
        <f t="shared" si="14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0"/>
        <v>2</v>
      </c>
      <c r="C73" s="28">
        <f t="shared" si="11"/>
        <v>45970</v>
      </c>
      <c r="D73" s="28">
        <f t="shared" si="12"/>
        <v>45910</v>
      </c>
      <c r="E73" s="3" t="str">
        <f ca="1">IF($H73="Decommissioned","DECOMMISSIONED",IF(OR(A73="",B73="",D73="No Date"),"UNSCHEDULED",IF(C73&lt;TODAY(),"OVERDUE","OK")))</f>
        <v>OVERDUE</v>
      </c>
      <c r="F73" s="3">
        <f t="shared" ca="1" si="13"/>
        <v>-61</v>
      </c>
      <c r="G73" s="3" t="str">
        <f t="shared" si="14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0"/>
        <v>2</v>
      </c>
      <c r="C74" s="28">
        <f t="shared" si="11"/>
        <v>45970</v>
      </c>
      <c r="D74" s="28">
        <f t="shared" si="12"/>
        <v>45910</v>
      </c>
      <c r="E74" s="3" t="str">
        <f ca="1">IF($H74="Decommissioned","DECOMMISSIONED",IF(OR(A74="",B74="",D74="No Date"),"UNSCHEDULED",IF(C74&lt;TODAY(),"OVERDUE","OK")))</f>
        <v>OVERDUE</v>
      </c>
      <c r="F74" s="3">
        <f t="shared" ca="1" si="13"/>
        <v>-61</v>
      </c>
      <c r="G74" s="3" t="str">
        <f t="shared" si="14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0"/>
        <v>2</v>
      </c>
      <c r="C75" s="28">
        <f t="shared" si="11"/>
        <v>45970</v>
      </c>
      <c r="D75" s="28">
        <f t="shared" si="12"/>
        <v>45910</v>
      </c>
      <c r="E75" s="3" t="str">
        <f ca="1">IF($H75="Decommissioned","DECOMMISSIONED",IF(OR(A75="",B75="",D75="No Date"),"UNSCHEDULED",IF(C75&lt;TODAY(),"OVERDUE","OK")))</f>
        <v>OVERDUE</v>
      </c>
      <c r="F75" s="3">
        <f t="shared" ca="1" si="13"/>
        <v>-61</v>
      </c>
      <c r="G75" s="3" t="str">
        <f t="shared" si="14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0"/>
        <v>3</v>
      </c>
      <c r="C76" s="28" t="str">
        <f t="shared" si="11"/>
        <v>No date</v>
      </c>
      <c r="D76" s="28" t="str">
        <f t="shared" si="12"/>
        <v>No Date</v>
      </c>
      <c r="E76" s="3" t="str">
        <f ca="1">IF($H76="Decommissioned","DECOMMISSIONED",IF(OR(A76="",B76="",D76="No Date"),"UNSCHEDULED",IF(C76&lt;TODAY(),"OVERDUE","OK")))</f>
        <v>UNSCHEDULED</v>
      </c>
      <c r="F76" s="3" t="str">
        <f t="shared" ca="1" si="13"/>
        <v>N/A</v>
      </c>
      <c r="G76" s="3" t="str">
        <f t="shared" si="14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0"/>
        <v>2</v>
      </c>
      <c r="C77" s="28" t="str">
        <f t="shared" si="11"/>
        <v>No date</v>
      </c>
      <c r="D77" s="28" t="str">
        <f t="shared" si="12"/>
        <v>No Date</v>
      </c>
      <c r="E77" s="3" t="str">
        <f ca="1">IF($H77="Decommissioned","DECOMMISSIONED",IF(OR(A77="",B77="",D77="No Date"),"UNSCHEDULED",IF(C77&lt;TODAY(),"OVERDUE","OK")))</f>
        <v>UNSCHEDULED</v>
      </c>
      <c r="F77" s="3" t="str">
        <f t="shared" ca="1" si="13"/>
        <v>N/A</v>
      </c>
      <c r="G77" s="3" t="str">
        <f t="shared" si="14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0"/>
        <v>2</v>
      </c>
      <c r="C78" s="28">
        <f t="shared" si="11"/>
        <v>46091</v>
      </c>
      <c r="D78" s="28">
        <f t="shared" si="12"/>
        <v>46031</v>
      </c>
      <c r="E78" s="3" t="str">
        <f ca="1">IF($H78="Decommissioned","DECOMMISSIONED",IF(OR(A78="",B78="",D78="No Date"),"UNSCHEDULED",IF(C78&lt;TODAY(),"OVERDUE","OK")))</f>
        <v>OK</v>
      </c>
      <c r="F78" s="3">
        <f t="shared" ca="1" si="13"/>
        <v>60</v>
      </c>
      <c r="G78" s="3" t="str">
        <f t="shared" si="14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0"/>
        <v>2</v>
      </c>
      <c r="C79" s="28" t="str">
        <f t="shared" si="11"/>
        <v>No date</v>
      </c>
      <c r="D79" s="28" t="str">
        <f t="shared" si="12"/>
        <v>No Date</v>
      </c>
      <c r="E79" s="3" t="str">
        <f ca="1">IF($H79="Decommissioned","DECOMMISSIONED",IF(OR(A79="",B79="",D79="No Date"),"UNSCHEDULED",IF(C79&lt;TODAY(),"OVERDUE","OK")))</f>
        <v>UNSCHEDULED</v>
      </c>
      <c r="F79" s="3" t="str">
        <f t="shared" ca="1" si="13"/>
        <v>N/A</v>
      </c>
      <c r="G79" s="3" t="str">
        <f t="shared" si="14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0"/>
        <v>3</v>
      </c>
      <c r="C80" s="28" t="str">
        <f t="shared" si="11"/>
        <v>No date</v>
      </c>
      <c r="D80" s="28" t="str">
        <f t="shared" si="12"/>
        <v>No Date</v>
      </c>
      <c r="E80" s="3" t="str">
        <f ca="1">IF($H80="Decommissioned","DECOMMISSIONED",IF(OR(A80="",B80="",D80="No Date"),"UNSCHEDULED",IF(C80&lt;TODAY(),"OVERDUE","OK")))</f>
        <v>UNSCHEDULED</v>
      </c>
      <c r="F80" s="3" t="str">
        <f t="shared" ca="1" si="13"/>
        <v>N/A</v>
      </c>
      <c r="G80" s="3" t="str">
        <f t="shared" si="14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0"/>
        <v>3</v>
      </c>
      <c r="C81" s="28" t="str">
        <f t="shared" si="11"/>
        <v>No date</v>
      </c>
      <c r="D81" s="28" t="str">
        <f t="shared" si="12"/>
        <v>No Date</v>
      </c>
      <c r="E81" s="3" t="str">
        <f ca="1">IF($H81="Decommissioned","DECOMMISSIONED",IF(OR(A81="",B81="",D81="No Date"),"UNSCHEDULED",IF(C81&lt;TODAY(),"OVERDUE","OK")))</f>
        <v>UNSCHEDULED</v>
      </c>
      <c r="F81" s="3" t="str">
        <f t="shared" ca="1" si="13"/>
        <v>N/A</v>
      </c>
      <c r="G81" s="3" t="str">
        <f t="shared" si="14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0"/>
        <v>3</v>
      </c>
      <c r="C82" s="28" t="str">
        <f t="shared" si="11"/>
        <v>No date</v>
      </c>
      <c r="D82" s="28" t="str">
        <f t="shared" si="12"/>
        <v>No Date</v>
      </c>
      <c r="E82" s="3" t="str">
        <f ca="1">IF($H82="Decommissioned","DECOMMISSIONED",IF(OR(A82="",B82="",D82="No Date"),"UNSCHEDULED",IF(C82&lt;TODAY(),"OVERDUE","OK")))</f>
        <v>UNSCHEDULED</v>
      </c>
      <c r="F82" s="3" t="str">
        <f t="shared" ca="1" si="13"/>
        <v>N/A</v>
      </c>
      <c r="G82" s="3" t="str">
        <f t="shared" si="14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0"/>
        <v>3</v>
      </c>
      <c r="C83" s="28" t="str">
        <f t="shared" si="11"/>
        <v>No date</v>
      </c>
      <c r="D83" s="28" t="str">
        <f t="shared" si="12"/>
        <v>No Date</v>
      </c>
      <c r="E83" s="3" t="str">
        <f ca="1">IF($H83="Decommissioned","DECOMMISSIONED",IF(OR(A83="",B83="",D83="No Date"),"UNSCHEDULED",IF(C83&lt;TODAY(),"OVERDUE","OK")))</f>
        <v>UNSCHEDULED</v>
      </c>
      <c r="F83" s="3" t="str">
        <f t="shared" ca="1" si="13"/>
        <v>N/A</v>
      </c>
      <c r="G83" s="3" t="str">
        <f t="shared" si="14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0"/>
        <v>3</v>
      </c>
      <c r="C84" s="28" t="str">
        <f t="shared" si="11"/>
        <v>No date</v>
      </c>
      <c r="D84" s="28" t="str">
        <f t="shared" si="12"/>
        <v>No Date</v>
      </c>
      <c r="E84" s="3" t="str">
        <f ca="1">IF($H84="Decommissioned","DECOMMISSIONED",IF(OR(A84="",B84="",D84="No Date"),"UNSCHEDULED",IF(C84&lt;TODAY(),"OVERDUE","OK")))</f>
        <v>UNSCHEDULED</v>
      </c>
      <c r="F84" s="3" t="str">
        <f t="shared" ca="1" si="13"/>
        <v>N/A</v>
      </c>
      <c r="G84" s="3" t="str">
        <f t="shared" si="14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0"/>
        <v>3</v>
      </c>
      <c r="C85" s="28" t="str">
        <f t="shared" si="11"/>
        <v>No date</v>
      </c>
      <c r="D85" s="28" t="str">
        <f t="shared" si="12"/>
        <v>No Date</v>
      </c>
      <c r="E85" s="3" t="str">
        <f ca="1">IF($H85="Decommissioned","DECOMMISSIONED",IF(OR(A85="",B85="",D85="No Date"),"UNSCHEDULED",IF(C85&lt;TODAY(),"OVERDUE","OK")))</f>
        <v>UNSCHEDULED</v>
      </c>
      <c r="F85" s="3" t="str">
        <f t="shared" ca="1" si="13"/>
        <v>N/A</v>
      </c>
      <c r="G85" s="3" t="str">
        <f t="shared" si="14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0"/>
        <v>2</v>
      </c>
      <c r="C86" s="28" t="str">
        <f t="shared" si="11"/>
        <v>No date</v>
      </c>
      <c r="D86" s="28" t="str">
        <f t="shared" si="12"/>
        <v>No Date</v>
      </c>
      <c r="E86" s="3" t="str">
        <f ca="1">IF($H86="Decommissioned","DECOMMISSIONED",IF(OR(A86="",B86="",D86="No Date"),"UNSCHEDULED",IF(C86&lt;TODAY(),"OVERDUE","OK")))</f>
        <v>UNSCHEDULED</v>
      </c>
      <c r="F86" s="3" t="str">
        <f t="shared" ca="1" si="13"/>
        <v>N/A</v>
      </c>
      <c r="G86" s="3" t="str">
        <f t="shared" si="14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25" priority="9">
      <formula>$Z2="Decommissioned"</formula>
    </cfRule>
  </conditionalFormatting>
  <conditionalFormatting sqref="AA2:ZY99 A87:D99 I2:T69 F87:T99 I70:I71 K70:T71 I72:T86">
    <cfRule type="expression" dxfId="24" priority="16" stopIfTrue="1">
      <formula>$G2="Decommissioned"</formula>
    </cfRule>
  </conditionalFormatting>
  <conditionalFormatting sqref="C87:C99">
    <cfRule type="expression" dxfId="23" priority="7" stopIfTrue="1">
      <formula>AND(ISNUMBER(C87),C87&lt;TODAY())</formula>
    </cfRule>
    <cfRule type="expression" dxfId="22" priority="8" stopIfTrue="1">
      <formula>AND(ISNUMBER(C87),C87&gt;=TODAY(),C87&lt;TODAY()+WarningDays)</formula>
    </cfRule>
  </conditionalFormatting>
  <conditionalFormatting sqref="E87:E99">
    <cfRule type="cellIs" dxfId="21" priority="17" stopIfTrue="1" operator="equal">
      <formula>"OVERDUE"</formula>
    </cfRule>
    <cfRule type="cellIs" dxfId="20" priority="18" stopIfTrue="1" operator="equal">
      <formula>"OK"</formula>
    </cfRule>
    <cfRule type="cellIs" dxfId="19" priority="19" stopIfTrue="1" operator="equal">
      <formula>"UNSCHEDULED"</formula>
    </cfRule>
  </conditionalFormatting>
  <conditionalFormatting sqref="J70">
    <cfRule type="expression" dxfId="18" priority="21">
      <formula>$Z70="Decommissioned"</formula>
    </cfRule>
  </conditionalFormatting>
  <conditionalFormatting sqref="J70">
    <cfRule type="expression" dxfId="17" priority="23" stopIfTrue="1">
      <formula>$G70="Decommissioned"</formula>
    </cfRule>
  </conditionalFormatting>
  <conditionalFormatting sqref="A2:H86">
    <cfRule type="expression" dxfId="3" priority="24" stopIfTrue="1">
      <formula>$H2="Decommissioned"</formula>
    </cfRule>
  </conditionalFormatting>
  <conditionalFormatting sqref="E2:E86">
    <cfRule type="expression" dxfId="2" priority="25">
      <formula>AND(E2="OVERDUE",$H2&lt;&gt;"Decommissioned")</formula>
    </cfRule>
    <cfRule type="expression" dxfId="1" priority="26">
      <formula>AND(E2="OK",$H2&lt;&gt;"Decommissioned")</formula>
    </cfRule>
    <cfRule type="expression" dxfId="0" priority="27">
      <formula>AND(E2="UNSCHEDULED",$H2&lt;&gt;"Decommissioned")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 t="str">
        <f>IFERROR(VLOOKUP(A26,'NextDC M1'!A:D,4,FALSE),"")</f>
        <v>No Date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2026-01-09T06:12:38Z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