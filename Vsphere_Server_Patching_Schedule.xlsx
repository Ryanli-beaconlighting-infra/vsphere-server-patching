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eaconau-my.sharepoint.com/personal/ryanli_beaconlighting_com_au/Documents/projects/vsphere-server-patching/"/>
    </mc:Choice>
  </mc:AlternateContent>
  <xr:revisionPtr revIDLastSave="2" documentId="13_ncr:1_{155265B7-702E-4A54-94AB-A1E6BAB34F32}" xr6:coauthVersionLast="47" xr6:coauthVersionMax="47" xr10:uidLastSave="{E445A45D-473E-4EA1-9265-5F797C3B24AB}"/>
  <bookViews>
    <workbookView xWindow="4930" yWindow="-19790" windowWidth="23000" windowHeight="18100" activeTab="5" xr2:uid="{045CAC0F-B92B-4899-9B7C-C1205458DC2D}"/>
  </bookViews>
  <sheets>
    <sheet name="Dashboard" sheetId="4" r:id="rId1"/>
    <sheet name="Master Servers" sheetId="6" r:id="rId2"/>
    <sheet name="Settings" sheetId="3" r:id="rId3"/>
    <sheet name="Applications" sheetId="5" r:id="rId4"/>
    <sheet name="NextDC M1" sheetId="2" r:id="rId5"/>
    <sheet name="Legacy_Server list" sheetId="1" r:id="rId6"/>
  </sheets>
  <definedNames>
    <definedName name="_xlnm._FilterDatabase" localSheetId="4" hidden="1">'NextDC M1'!$A$1:$I$85</definedName>
    <definedName name="ClusterList">Settings!$A$15:$A$18</definedName>
    <definedName name="ImpactList">Settings!$C$17:$C$20</definedName>
    <definedName name="MasterServerData">'Master Servers'!$A$5:$C$200</definedName>
    <definedName name="MasterServerList">'Master Servers'!$A$5:$A$200</definedName>
    <definedName name="MasterStatusData">'Master Servers'!$A$5:$D$200</definedName>
    <definedName name="PriorityList">Settings!$A$5:$A$9</definedName>
    <definedName name="PriorityTable">Settings!$A$5:$D$9</definedName>
    <definedName name="TeamList">Settings!$A$23:$A$26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4" l="1"/>
  <c r="B20" i="4"/>
  <c r="B19" i="4"/>
  <c r="B18" i="4"/>
  <c r="B5" i="4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36" i="4"/>
  <c r="B35" i="4"/>
  <c r="B34" i="4"/>
  <c r="B33" i="4"/>
  <c r="B2" i="4"/>
  <c r="B14" i="4" l="1"/>
  <c r="B15" i="4"/>
  <c r="B13" i="4"/>
  <c r="D14" i="2"/>
  <c r="C14" i="2" s="1"/>
  <c r="E14" i="2" s="1"/>
  <c r="D68" i="2"/>
  <c r="C68" i="2" s="1"/>
  <c r="E68" i="2" s="1"/>
  <c r="D26" i="2"/>
  <c r="C26" i="2" s="1"/>
  <c r="E26" i="2" s="1"/>
  <c r="D51" i="2"/>
  <c r="C51" i="2" s="1"/>
  <c r="E51" i="2" s="1"/>
  <c r="D57" i="1"/>
  <c r="D71" i="2"/>
  <c r="C71" i="2" s="1"/>
  <c r="E71" i="2" s="1"/>
  <c r="D3" i="2"/>
  <c r="C3" i="2" s="1"/>
  <c r="E3" i="2" s="1"/>
  <c r="D78" i="2"/>
  <c r="D84" i="1" s="1"/>
  <c r="D44" i="2"/>
  <c r="D50" i="1" s="1"/>
  <c r="D21" i="2"/>
  <c r="C21" i="2" s="1"/>
  <c r="E21" i="2" s="1"/>
  <c r="D54" i="2"/>
  <c r="D60" i="1" s="1"/>
  <c r="D56" i="2"/>
  <c r="D62" i="1" s="1"/>
  <c r="C56" i="2"/>
  <c r="E56" i="2" s="1"/>
  <c r="D64" i="2"/>
  <c r="C64" i="2" s="1"/>
  <c r="E64" i="2" s="1"/>
  <c r="D41" i="2"/>
  <c r="D47" i="1" s="1"/>
  <c r="C41" i="2"/>
  <c r="E41" i="2" s="1"/>
  <c r="D23" i="2"/>
  <c r="C23" i="2" s="1"/>
  <c r="D35" i="2"/>
  <c r="D41" i="1" s="1"/>
  <c r="D24" i="2"/>
  <c r="D30" i="1" s="1"/>
  <c r="D15" i="2"/>
  <c r="D21" i="1" s="1"/>
  <c r="D42" i="2"/>
  <c r="C42" i="2" s="1"/>
  <c r="E42" i="2" s="1"/>
  <c r="D45" i="2"/>
  <c r="D51" i="1" s="1"/>
  <c r="D81" i="2"/>
  <c r="C81" i="2" s="1"/>
  <c r="E81" i="2" s="1"/>
  <c r="D5" i="2"/>
  <c r="C5" i="2" s="1"/>
  <c r="E5" i="2" s="1"/>
  <c r="D72" i="2"/>
  <c r="C72" i="2" s="1"/>
  <c r="E72" i="2" s="1"/>
  <c r="D50" i="2"/>
  <c r="C50" i="2" s="1"/>
  <c r="E50" i="2" s="1"/>
  <c r="D79" i="2"/>
  <c r="C79" i="2" s="1"/>
  <c r="E79" i="2" s="1"/>
  <c r="D67" i="2"/>
  <c r="C67" i="2" s="1"/>
  <c r="E67" i="2" s="1"/>
  <c r="D65" i="2"/>
  <c r="C65" i="2" s="1"/>
  <c r="E65" i="2" s="1"/>
  <c r="D83" i="2"/>
  <c r="C83" i="2" s="1"/>
  <c r="E83" i="2" s="1"/>
  <c r="D39" i="2"/>
  <c r="C39" i="2" s="1"/>
  <c r="E39" i="2" s="1"/>
  <c r="D12" i="2"/>
  <c r="D18" i="1" s="1"/>
  <c r="D53" i="2"/>
  <c r="D59" i="1" s="1"/>
  <c r="D10" i="2"/>
  <c r="C10" i="2" s="1"/>
  <c r="E10" i="2" s="1"/>
  <c r="D11" i="2"/>
  <c r="C11" i="2" s="1"/>
  <c r="E11" i="2" s="1"/>
  <c r="D18" i="2"/>
  <c r="D24" i="1" s="1"/>
  <c r="D34" i="2"/>
  <c r="D40" i="1" s="1"/>
  <c r="C34" i="2"/>
  <c r="E34" i="2" s="1"/>
  <c r="D32" i="2"/>
  <c r="C32" i="2" s="1"/>
  <c r="E32" i="2" s="1"/>
  <c r="D38" i="1"/>
  <c r="D77" i="2"/>
  <c r="D83" i="1" s="1"/>
  <c r="D57" i="2"/>
  <c r="C57" i="2" s="1"/>
  <c r="E57" i="2" s="1"/>
  <c r="D28" i="2"/>
  <c r="C28" i="2" s="1"/>
  <c r="E28" i="2" s="1"/>
  <c r="D31" i="2"/>
  <c r="C31" i="2" s="1"/>
  <c r="E31" i="2" s="1"/>
  <c r="D37" i="1"/>
  <c r="D58" i="2"/>
  <c r="C58" i="2" s="1"/>
  <c r="E58" i="2" s="1"/>
  <c r="D85" i="2"/>
  <c r="D91" i="1" s="1"/>
  <c r="C85" i="2"/>
  <c r="E85" i="2" s="1"/>
  <c r="D52" i="2"/>
  <c r="D58" i="1" s="1"/>
  <c r="D84" i="2"/>
  <c r="D90" i="1" s="1"/>
  <c r="D17" i="2"/>
  <c r="C17" i="2" s="1"/>
  <c r="E17" i="2" s="1"/>
  <c r="D49" i="2"/>
  <c r="D55" i="1" s="1"/>
  <c r="D59" i="2"/>
  <c r="D65" i="1" s="1"/>
  <c r="D73" i="2"/>
  <c r="D79" i="1" s="1"/>
  <c r="D46" i="2"/>
  <c r="D52" i="1" s="1"/>
  <c r="D33" i="2"/>
  <c r="D39" i="1" s="1"/>
  <c r="D63" i="2"/>
  <c r="D69" i="1" s="1"/>
  <c r="C63" i="2"/>
  <c r="D70" i="2"/>
  <c r="C70" i="2" s="1"/>
  <c r="E70" i="2" s="1"/>
  <c r="D7" i="2"/>
  <c r="D13" i="1" s="1"/>
  <c r="D4" i="2"/>
  <c r="D10" i="1" s="1"/>
  <c r="D25" i="2"/>
  <c r="D31" i="1" s="1"/>
  <c r="D2" i="2"/>
  <c r="D8" i="1" s="1"/>
  <c r="C2" i="2"/>
  <c r="D20" i="2"/>
  <c r="D26" i="1" s="1"/>
  <c r="D66" i="2"/>
  <c r="D72" i="1" s="1"/>
  <c r="D29" i="2"/>
  <c r="C29" i="2" s="1"/>
  <c r="E29" i="2" s="1"/>
  <c r="D6" i="2"/>
  <c r="D12" i="1" s="1"/>
  <c r="C6" i="2"/>
  <c r="E6" i="2" s="1"/>
  <c r="D8" i="2"/>
  <c r="C8" i="2" s="1"/>
  <c r="E8" i="2" s="1"/>
  <c r="D16" i="2"/>
  <c r="D22" i="1" s="1"/>
  <c r="D30" i="2"/>
  <c r="D36" i="1" s="1"/>
  <c r="D76" i="2"/>
  <c r="D82" i="1" s="1"/>
  <c r="D37" i="2"/>
  <c r="D43" i="1" s="1"/>
  <c r="D74" i="2"/>
  <c r="C74" i="2" s="1"/>
  <c r="E74" i="2" s="1"/>
  <c r="D80" i="1"/>
  <c r="D82" i="2"/>
  <c r="D88" i="1" s="1"/>
  <c r="D48" i="2"/>
  <c r="C48" i="2" s="1"/>
  <c r="E48" i="2" s="1"/>
  <c r="D40" i="2"/>
  <c r="C40" i="2" s="1"/>
  <c r="E40" i="2" s="1"/>
  <c r="D19" i="2"/>
  <c r="C19" i="2" s="1"/>
  <c r="E19" i="2" s="1"/>
  <c r="D61" i="2"/>
  <c r="D67" i="1" s="1"/>
  <c r="C61" i="2"/>
  <c r="E61" i="2" s="1"/>
  <c r="D38" i="2"/>
  <c r="D44" i="1" s="1"/>
  <c r="D80" i="2"/>
  <c r="D86" i="1" s="1"/>
  <c r="D22" i="2"/>
  <c r="D28" i="1" s="1"/>
  <c r="D55" i="2"/>
  <c r="C55" i="2" s="1"/>
  <c r="E55" i="2" s="1"/>
  <c r="D13" i="2"/>
  <c r="C13" i="2" s="1"/>
  <c r="E13" i="2" s="1"/>
  <c r="D75" i="2"/>
  <c r="D81" i="1" s="1"/>
  <c r="D62" i="2"/>
  <c r="D68" i="1" s="1"/>
  <c r="D27" i="2"/>
  <c r="C27" i="2" s="1"/>
  <c r="E27" i="2" s="1"/>
  <c r="D60" i="2"/>
  <c r="C60" i="2" s="1"/>
  <c r="E60" i="2" s="1"/>
  <c r="D9" i="2"/>
  <c r="D15" i="1" s="1"/>
  <c r="D43" i="2"/>
  <c r="D49" i="1" s="1"/>
  <c r="C43" i="2"/>
  <c r="E43" i="2" s="1"/>
  <c r="D47" i="2"/>
  <c r="D53" i="1" s="1"/>
  <c r="D36" i="2"/>
  <c r="C36" i="2" s="1"/>
  <c r="E36" i="2" s="1"/>
  <c r="D42" i="1"/>
  <c r="D69" i="2"/>
  <c r="D75" i="1" s="1"/>
  <c r="C9" i="2" l="1"/>
  <c r="D14" i="1"/>
  <c r="C7" i="2"/>
  <c r="E7" i="2" s="1"/>
  <c r="C82" i="2"/>
  <c r="E82" i="2" s="1"/>
  <c r="C66" i="2"/>
  <c r="E66" i="2" s="1"/>
  <c r="C44" i="2"/>
  <c r="E44" i="2" s="1"/>
  <c r="C37" i="2"/>
  <c r="E37" i="2" s="1"/>
  <c r="C12" i="2"/>
  <c r="E12" i="2" s="1"/>
  <c r="C45" i="2"/>
  <c r="F45" i="2" s="1"/>
  <c r="C30" i="2"/>
  <c r="E30" i="2" s="1"/>
  <c r="C49" i="2"/>
  <c r="F49" i="2" s="1"/>
  <c r="C69" i="2"/>
  <c r="F69" i="2" s="1"/>
  <c r="D45" i="1"/>
  <c r="D46" i="1"/>
  <c r="C78" i="2"/>
  <c r="E78" i="2" s="1"/>
  <c r="D34" i="1"/>
  <c r="D87" i="1"/>
  <c r="C75" i="2"/>
  <c r="F75" i="2" s="1"/>
  <c r="D25" i="1"/>
  <c r="C20" i="2"/>
  <c r="F20" i="2" s="1"/>
  <c r="C46" i="2"/>
  <c r="E46" i="2" s="1"/>
  <c r="D64" i="1"/>
  <c r="D73" i="1"/>
  <c r="D32" i="1"/>
  <c r="D33" i="1"/>
  <c r="D16" i="1"/>
  <c r="C15" i="2"/>
  <c r="E15" i="2" s="1"/>
  <c r="D70" i="1"/>
  <c r="D61" i="1"/>
  <c r="D54" i="1"/>
  <c r="C59" i="2"/>
  <c r="F59" i="2" s="1"/>
  <c r="D35" i="1"/>
  <c r="F2" i="2"/>
  <c r="E2" i="2"/>
  <c r="F63" i="2"/>
  <c r="E63" i="2"/>
  <c r="F23" i="2"/>
  <c r="E23" i="2"/>
  <c r="F78" i="2"/>
  <c r="F9" i="2"/>
  <c r="E9" i="2"/>
  <c r="F39" i="2"/>
  <c r="F41" i="2"/>
  <c r="F6" i="2"/>
  <c r="F43" i="2"/>
  <c r="F10" i="2"/>
  <c r="F81" i="2"/>
  <c r="F56" i="2"/>
  <c r="C77" i="2"/>
  <c r="E77" i="2" s="1"/>
  <c r="F19" i="2"/>
  <c r="F40" i="2"/>
  <c r="F57" i="2"/>
  <c r="F27" i="2"/>
  <c r="D19" i="1"/>
  <c r="F61" i="2"/>
  <c r="C73" i="2"/>
  <c r="E73" i="2" s="1"/>
  <c r="F85" i="2"/>
  <c r="C24" i="2"/>
  <c r="E24" i="2" s="1"/>
  <c r="D63" i="1"/>
  <c r="D29" i="1"/>
  <c r="C76" i="2"/>
  <c r="C22" i="2"/>
  <c r="E22" i="2" s="1"/>
  <c r="C35" i="2"/>
  <c r="E35" i="2" s="1"/>
  <c r="C25" i="2"/>
  <c r="E25" i="2" s="1"/>
  <c r="C33" i="2"/>
  <c r="E33" i="2" s="1"/>
  <c r="D48" i="1"/>
  <c r="F21" i="2"/>
  <c r="F48" i="2"/>
  <c r="F5" i="2"/>
  <c r="F83" i="2"/>
  <c r="F32" i="2"/>
  <c r="F28" i="2"/>
  <c r="F68" i="2"/>
  <c r="F14" i="2"/>
  <c r="F36" i="2"/>
  <c r="F17" i="2"/>
  <c r="F60" i="2"/>
  <c r="F55" i="2"/>
  <c r="F74" i="2"/>
  <c r="F8" i="2"/>
  <c r="F3" i="2"/>
  <c r="F72" i="2"/>
  <c r="F26" i="2"/>
  <c r="F64" i="2"/>
  <c r="F13" i="2"/>
  <c r="F70" i="2"/>
  <c r="F65" i="2"/>
  <c r="F67" i="2"/>
  <c r="F79" i="2"/>
  <c r="F42" i="2"/>
  <c r="F29" i="2"/>
  <c r="F58" i="2"/>
  <c r="F11" i="2"/>
  <c r="F71" i="2"/>
  <c r="F50" i="2"/>
  <c r="F51" i="2"/>
  <c r="D66" i="1"/>
  <c r="C47" i="2"/>
  <c r="E47" i="2" s="1"/>
  <c r="C4" i="2"/>
  <c r="E4" i="2" s="1"/>
  <c r="C52" i="2"/>
  <c r="E52" i="2" s="1"/>
  <c r="D76" i="1"/>
  <c r="C53" i="2"/>
  <c r="E53" i="2" s="1"/>
  <c r="F34" i="2"/>
  <c r="D17" i="1"/>
  <c r="D85" i="1"/>
  <c r="C54" i="2"/>
  <c r="E54" i="2" s="1"/>
  <c r="D9" i="1"/>
  <c r="D11" i="1"/>
  <c r="C80" i="2"/>
  <c r="E80" i="2" s="1"/>
  <c r="F31" i="2"/>
  <c r="D23" i="1"/>
  <c r="D56" i="1"/>
  <c r="D89" i="1"/>
  <c r="D77" i="1"/>
  <c r="C18" i="2"/>
  <c r="E18" i="2" s="1"/>
  <c r="C62" i="2"/>
  <c r="E62" i="2" s="1"/>
  <c r="C38" i="2"/>
  <c r="E38" i="2" s="1"/>
  <c r="C16" i="2"/>
  <c r="E16" i="2" s="1"/>
  <c r="D74" i="1"/>
  <c r="D78" i="1"/>
  <c r="D27" i="1"/>
  <c r="D20" i="1"/>
  <c r="C84" i="2"/>
  <c r="E84" i="2" s="1"/>
  <c r="D71" i="1"/>
  <c r="F82" i="2" l="1"/>
  <c r="F37" i="2"/>
  <c r="F44" i="2"/>
  <c r="F7" i="2"/>
  <c r="E49" i="2"/>
  <c r="F12" i="2"/>
  <c r="F30" i="2"/>
  <c r="F66" i="2"/>
  <c r="E69" i="2"/>
  <c r="E45" i="2"/>
  <c r="F46" i="2"/>
  <c r="E75" i="2"/>
  <c r="E59" i="2"/>
  <c r="F15" i="2"/>
  <c r="E20" i="2"/>
  <c r="F76" i="2"/>
  <c r="E76" i="2"/>
  <c r="C15" i="4"/>
  <c r="C13" i="4"/>
  <c r="F77" i="2"/>
  <c r="F22" i="2"/>
  <c r="F35" i="2"/>
  <c r="F25" i="2"/>
  <c r="F33" i="2"/>
  <c r="F24" i="2"/>
  <c r="F73" i="2"/>
  <c r="F16" i="2"/>
  <c r="F47" i="2"/>
  <c r="C14" i="4"/>
  <c r="F80" i="2"/>
  <c r="F52" i="2"/>
  <c r="F38" i="2"/>
  <c r="F62" i="2"/>
  <c r="F84" i="2"/>
  <c r="F54" i="2"/>
  <c r="F18" i="2"/>
  <c r="F53" i="2"/>
  <c r="F4" i="2"/>
  <c r="B8" i="4" l="1"/>
  <c r="B6" i="4"/>
  <c r="B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Lim</author>
  </authors>
  <commentList>
    <comment ref="B1" authorId="0" shapeId="0" xr:uid="{79E61B5B-9071-40A6-80DD-E0FD83D3D7FD}">
      <text>
        <r>
          <rPr>
            <b/>
            <sz val="9"/>
            <color indexed="81"/>
            <rFont val="Tahoma"/>
            <family val="2"/>
          </rPr>
          <t>Priority auto-fills from Master Servers when you select a server. You can override by typing a different value.</t>
        </r>
      </text>
    </comment>
  </commentList>
</comments>
</file>

<file path=xl/sharedStrings.xml><?xml version="1.0" encoding="utf-8"?>
<sst xmlns="http://schemas.openxmlformats.org/spreadsheetml/2006/main" count="1011" uniqueCount="300">
  <si>
    <t>Server type</t>
  </si>
  <si>
    <t xml:space="preserve">Priority </t>
  </si>
  <si>
    <t>Frequency (months)</t>
  </si>
  <si>
    <t>Critical servers EG// SQL DBs and production web VMs.</t>
  </si>
  <si>
    <t>Medium-risk application.</t>
  </si>
  <si>
    <t>Low-risk/dev.</t>
  </si>
  <si>
    <t>Server / VM Name</t>
  </si>
  <si>
    <t>Cluster</t>
  </si>
  <si>
    <t>Purpose / Applications hosted</t>
  </si>
  <si>
    <t>Last Patch Date (DD/MM/YY)</t>
  </si>
  <si>
    <t>Priority</t>
  </si>
  <si>
    <t>Pre-Patch Checklist</t>
  </si>
  <si>
    <t>Testing &amp; Validation Contact info</t>
  </si>
  <si>
    <t>Broadcast emails</t>
  </si>
  <si>
    <t>Team</t>
  </si>
  <si>
    <t>Applications</t>
  </si>
  <si>
    <t>BeaconApps</t>
  </si>
  <si>
    <t>NextDC M1</t>
  </si>
  <si>
    <t>App server</t>
  </si>
  <si>
    <t>Team 1</t>
  </si>
  <si>
    <t>TO: allbeaconanzusers@beaconlighting.com.au; CC: it@beaconlighting.com.au</t>
  </si>
  <si>
    <t>EEE/POS related services will be affected such as:</t>
  </si>
  <si>
    <t>BeaconAppsDev</t>
  </si>
  <si>
    <t xml:space="preserve">App server Testing </t>
  </si>
  <si>
    <t>Notify (Team 1)</t>
  </si>
  <si>
    <t xml:space="preserve"> </t>
  </si>
  <si>
    <t>- EEE</t>
  </si>
  <si>
    <t>BeaconDB</t>
  </si>
  <si>
    <t>DB server</t>
  </si>
  <si>
    <t>Notify (Team 1, Team 3)</t>
  </si>
  <si>
    <t>- EEPOS</t>
  </si>
  <si>
    <t>BeaconDBDev</t>
  </si>
  <si>
    <t xml:space="preserve">DB Server Testing </t>
  </si>
  <si>
    <t>- SlimStock </t>
  </si>
  <si>
    <t>BeaconFOB</t>
  </si>
  <si>
    <t>FOB Access Server (Kent Hibberd)</t>
  </si>
  <si>
    <t>BLREPORTS</t>
  </si>
  <si>
    <t>Reports Server</t>
  </si>
  <si>
    <t>BDSA</t>
  </si>
  <si>
    <t>BLREPORTSDEV</t>
  </si>
  <si>
    <t xml:space="preserve">Reports Server Testing </t>
  </si>
  <si>
    <t>BeaonDB</t>
  </si>
  <si>
    <t>Commercial Quote App</t>
  </si>
  <si>
    <t>BLXADIR01</t>
  </si>
  <si>
    <t>Citrix Director (T3)</t>
  </si>
  <si>
    <t>Trade Quote App</t>
  </si>
  <si>
    <t>EEEAPP</t>
  </si>
  <si>
    <t>EEE</t>
  </si>
  <si>
    <t>TO: bgsc@beaconlighting.com.au; dc@beaconlighting.com.au; allstores@beaconlighting.com.au; salesmgr@beaconlighting.com.au CC: it@beaconlighting.com.au;</t>
  </si>
  <si>
    <t>FDE</t>
  </si>
  <si>
    <t>EEEDB1</t>
  </si>
  <si>
    <t>EEE DB1</t>
  </si>
  <si>
    <t>SMA</t>
  </si>
  <si>
    <t>EEEDB2</t>
  </si>
  <si>
    <t>EEE DB2</t>
  </si>
  <si>
    <t>Ticketshop</t>
  </si>
  <si>
    <t>EEPOSREP</t>
  </si>
  <si>
    <t>EEE POS</t>
  </si>
  <si>
    <t>PIM API - Internal</t>
  </si>
  <si>
    <t>EEPOSREPTEST</t>
  </si>
  <si>
    <t xml:space="preserve">EEE POS Testing </t>
  </si>
  <si>
    <t>N/A</t>
  </si>
  <si>
    <t>PIM API - External</t>
  </si>
  <si>
    <t>EETEST</t>
  </si>
  <si>
    <t>EE Development Server</t>
  </si>
  <si>
    <t>GPAPP</t>
  </si>
  <si>
    <t xml:space="preserve">GP APP </t>
  </si>
  <si>
    <t>Approval  ( Finance, Team 3)</t>
  </si>
  <si>
    <t>Team 3</t>
  </si>
  <si>
    <t>TO: allbeaconanzusers@beaconlighting.com.au; allinternational@beaconlighting.com.au; CC: it@beaconlighting.com.au</t>
  </si>
  <si>
    <t>GPDB</t>
  </si>
  <si>
    <t xml:space="preserve">GP DataBase </t>
  </si>
  <si>
    <t>IVSDB</t>
  </si>
  <si>
    <t>IVS Database Server (T1)</t>
  </si>
  <si>
    <t>GP:</t>
  </si>
  <si>
    <t>JEDB</t>
  </si>
  <si>
    <t xml:space="preserve"> Citrix</t>
  </si>
  <si>
    <t>JEDev</t>
  </si>
  <si>
    <t xml:space="preserve"> SmartConnect</t>
  </si>
  <si>
    <t>Management</t>
  </si>
  <si>
    <t xml:space="preserve"> Integration Manager</t>
  </si>
  <si>
    <t>NDCADC</t>
  </si>
  <si>
    <t xml:space="preserve"> Management Reporter</t>
  </si>
  <si>
    <t>NDCADFS</t>
  </si>
  <si>
    <t xml:space="preserve"> PaperSave</t>
  </si>
  <si>
    <t>NDC-ADMGMT01</t>
  </si>
  <si>
    <t xml:space="preserve">Active Directory </t>
  </si>
  <si>
    <t xml:space="preserve"> EDI</t>
  </si>
  <si>
    <t>NDC-APP01</t>
  </si>
  <si>
    <t>Store Front</t>
  </si>
  <si>
    <t xml:space="preserve"> Store Budget Reports</t>
  </si>
  <si>
    <t>NDC-APP02</t>
  </si>
  <si>
    <t>Diamond, Asset Mgmt</t>
  </si>
  <si>
    <r>
      <rPr>
        <sz val="11"/>
        <color rgb="FF000000"/>
        <rFont val="Calibri"/>
      </rPr>
      <t>Store Connect,  Inventory Planning</t>
    </r>
    <r>
      <rPr>
        <strike/>
        <sz val="11"/>
        <color rgb="FF000000"/>
        <rFont val="Calibri"/>
      </rPr>
      <t>, All other applications related to GP</t>
    </r>
  </si>
  <si>
    <t>NDC-BUPROXY01</t>
  </si>
  <si>
    <t>NDC-BUWAC01</t>
  </si>
  <si>
    <t>NDC Domain Controller</t>
  </si>
  <si>
    <t>NDC-BUWAC02</t>
  </si>
  <si>
    <t>NDC-WMS:</t>
  </si>
  <si>
    <t>NDC-BYB01</t>
  </si>
  <si>
    <t>Storefront (App)</t>
  </si>
  <si>
    <t>NDC-DBMGMT01</t>
  </si>
  <si>
    <t>Warehouse Database</t>
  </si>
  <si>
    <t>NDC-DC01</t>
  </si>
  <si>
    <t>NDC-DC02</t>
  </si>
  <si>
    <t>NDC-FILE01</t>
  </si>
  <si>
    <t xml:space="preserve">File server </t>
  </si>
  <si>
    <t>NDC-GP-APP</t>
  </si>
  <si>
    <t>GP APP</t>
  </si>
  <si>
    <t>NDC-GP-DB</t>
  </si>
  <si>
    <t>GP DB</t>
  </si>
  <si>
    <t>NDC-GP-DEV</t>
  </si>
  <si>
    <t>GP Dev</t>
  </si>
  <si>
    <t>Notify (Team 3)</t>
  </si>
  <si>
    <t>NDC-GP-STAGE</t>
  </si>
  <si>
    <t>NDC-INFRADC01</t>
  </si>
  <si>
    <t>NDC-INFRADC02</t>
  </si>
  <si>
    <t>NDC-INFRAMGMT01</t>
  </si>
  <si>
    <t xml:space="preserve">Infra Management Server </t>
  </si>
  <si>
    <t>NDC-ITDEV01</t>
  </si>
  <si>
    <t>NDC-JEDB</t>
  </si>
  <si>
    <t>NDC-JEDev</t>
  </si>
  <si>
    <t>NDC-M1-BACKUP01</t>
  </si>
  <si>
    <t>Veeam Backup</t>
  </si>
  <si>
    <t>NDC-M1-DC01</t>
  </si>
  <si>
    <t>NDC-M1-MGMT01</t>
  </si>
  <si>
    <t>NDC-M1-NESSUS</t>
  </si>
  <si>
    <t>NDC-M1-NETWORK01</t>
  </si>
  <si>
    <t>NDC-M1-PENT01</t>
  </si>
  <si>
    <t>NDC-M1-RBCMC</t>
  </si>
  <si>
    <t>NDC-M1-RBSHM</t>
  </si>
  <si>
    <t>NDC-M1-SCG</t>
  </si>
  <si>
    <t>NDC-M1-VCSA01</t>
  </si>
  <si>
    <t>NDC-M1-VSZ01</t>
  </si>
  <si>
    <t>NDC-MAIL01</t>
  </si>
  <si>
    <t xml:space="preserve">On-Prem Mail server </t>
  </si>
  <si>
    <t>NDC-PRINT01</t>
  </si>
  <si>
    <t xml:space="preserve">Print server </t>
  </si>
  <si>
    <t>NDC-RDS-GW01</t>
  </si>
  <si>
    <t>NDC-RDS-LIC01</t>
  </si>
  <si>
    <t>NDC-SSTOCK01</t>
  </si>
  <si>
    <t xml:space="preserve">Slim Stock </t>
  </si>
  <si>
    <t>NDC-WMS-APP</t>
  </si>
  <si>
    <t xml:space="preserve">WMS APP Dev </t>
  </si>
  <si>
    <t>TO: pdc@beaconlighting.com.au; dc@beaconlighting.com.au CC: it@beaconlighting.com.au</t>
  </si>
  <si>
    <t>NDC-WMS-APP-DEV</t>
  </si>
  <si>
    <t>WMS APP</t>
  </si>
  <si>
    <t>NDC-WMS-DB</t>
  </si>
  <si>
    <t>WMS DB Dev</t>
  </si>
  <si>
    <t>NDC-WMS-DB-DEV</t>
  </si>
  <si>
    <t>WMS DB</t>
  </si>
  <si>
    <t>NDC-WMS-RFB01</t>
  </si>
  <si>
    <t>WMS RF Based Gun  (T3)</t>
  </si>
  <si>
    <t>TO: pdc@beaconlighting.com.au; dc@beaconlighting.com.au; CC: it@beaconlighting.com.au</t>
  </si>
  <si>
    <t>NDC-WMS-RFB02</t>
  </si>
  <si>
    <t>WMS RF Based Gun (T3)</t>
  </si>
  <si>
    <t>NDC-XA-DC01</t>
  </si>
  <si>
    <t xml:space="preserve">Citrix </t>
  </si>
  <si>
    <t>NDC-XA-DC02</t>
  </si>
  <si>
    <t>NDC-XA-GP01</t>
  </si>
  <si>
    <t>NDC-XA-NSVPX03</t>
  </si>
  <si>
    <t>Citrix Netscaler (Firewall)</t>
  </si>
  <si>
    <t>NDC-XA-VDA01</t>
  </si>
  <si>
    <t>NDC-XA-VDA02</t>
  </si>
  <si>
    <t>NDC-XA-VDA03</t>
  </si>
  <si>
    <t>NDC-XA-VDA04</t>
  </si>
  <si>
    <t>PrintDC</t>
  </si>
  <si>
    <t>Print Server DC</t>
  </si>
  <si>
    <t>PrinterAudit</t>
  </si>
  <si>
    <t>PrinterAudit_REF_PC</t>
  </si>
  <si>
    <t>RBDBDev</t>
  </si>
  <si>
    <t>Sentry</t>
  </si>
  <si>
    <t>Solarwinds Monitoring (Calvin)</t>
  </si>
  <si>
    <t>SPAPP</t>
  </si>
  <si>
    <t>Share Point Dev Server</t>
  </si>
  <si>
    <t>SPAPPDEV</t>
  </si>
  <si>
    <t>SPDB</t>
  </si>
  <si>
    <t>Share Point Database Server</t>
  </si>
  <si>
    <t>SPDBDEV</t>
  </si>
  <si>
    <t>Share Point Database Dev Server</t>
  </si>
  <si>
    <t>Team2- Staging-01</t>
  </si>
  <si>
    <t>Team 2 server</t>
  </si>
  <si>
    <t>WSUS2019</t>
  </si>
  <si>
    <t>Next Scheduled Date</t>
  </si>
  <si>
    <t>Patch History (DD/MM/YY)</t>
  </si>
  <si>
    <t>Notes</t>
  </si>
  <si>
    <t>PATCHING SCHEDULE SETTINGS</t>
  </si>
  <si>
    <t>Description</t>
  </si>
  <si>
    <t>Server Types</t>
  </si>
  <si>
    <t>Critical</t>
  </si>
  <si>
    <t>Medium</t>
  </si>
  <si>
    <t>Low/Dev</t>
  </si>
  <si>
    <t>Development, Test, Non-critical</t>
  </si>
  <si>
    <t>Team 2</t>
  </si>
  <si>
    <t>High</t>
  </si>
  <si>
    <t>Infrastructure</t>
  </si>
  <si>
    <t>Low</t>
  </si>
  <si>
    <t>INSTRUCTIONS</t>
  </si>
  <si>
    <t>VSPHERE SERVER PATCHING DASHBOARD</t>
  </si>
  <si>
    <t>Last Refreshed:</t>
  </si>
  <si>
    <t>PATCHING STATUS OVERVIEW</t>
  </si>
  <si>
    <t>Total Servers</t>
  </si>
  <si>
    <t>OVERDUE</t>
  </si>
  <si>
    <t>UNSCHEDULED</t>
  </si>
  <si>
    <t>BY PRIORITY</t>
  </si>
  <si>
    <t>Count</t>
  </si>
  <si>
    <t>Overdue</t>
  </si>
  <si>
    <t>1 - Critical</t>
  </si>
  <si>
    <t>2 - Medium</t>
  </si>
  <si>
    <t>3 - Low/Dev</t>
  </si>
  <si>
    <t>CURRENT PATCHING CYCLES</t>
  </si>
  <si>
    <t>Priority 1 (Critical):</t>
  </si>
  <si>
    <t>Priority 2 (Medium):</t>
  </si>
  <si>
    <t>Priority 3 (Low/Dev):</t>
  </si>
  <si>
    <t>RecordPatchDate</t>
  </si>
  <si>
    <t>QuickPatchMultiple</t>
  </si>
  <si>
    <t>ShowOverdueServers</t>
  </si>
  <si>
    <t>GenerateEmailList</t>
  </si>
  <si>
    <t>ExportPatchReport</t>
  </si>
  <si>
    <t>Application Name</t>
  </si>
  <si>
    <t>Category</t>
  </si>
  <si>
    <t>Associated Servers</t>
  </si>
  <si>
    <t>Business Owner</t>
  </si>
  <si>
    <t>Impact Level</t>
  </si>
  <si>
    <t>Notification Required</t>
  </si>
  <si>
    <t>Core Business</t>
  </si>
  <si>
    <t>EEEAPP, EEEDB1, EEEDB2</t>
  </si>
  <si>
    <t>Yes</t>
  </si>
  <si>
    <t>EEPOS</t>
  </si>
  <si>
    <t>Point of Sale</t>
  </si>
  <si>
    <t>EEPOSREP, EEPOSREPTEST</t>
  </si>
  <si>
    <t>GP/Dynamics</t>
  </si>
  <si>
    <t>ERP</t>
  </si>
  <si>
    <t>GPAPP, GPDB</t>
  </si>
  <si>
    <t>SlimStock</t>
  </si>
  <si>
    <t>Inventory</t>
  </si>
  <si>
    <t>BeaconDB, BeaconDBDev</t>
  </si>
  <si>
    <t>Reporting</t>
  </si>
  <si>
    <t>No</t>
  </si>
  <si>
    <t>Sales</t>
  </si>
  <si>
    <t>Citrix</t>
  </si>
  <si>
    <t>SmartConnect</t>
  </si>
  <si>
    <t>Integration</t>
  </si>
  <si>
    <t>Integration Manager</t>
  </si>
  <si>
    <t>Management Reporter</t>
  </si>
  <si>
    <t>PaperSave</t>
  </si>
  <si>
    <t>Document Management</t>
  </si>
  <si>
    <t>EDI</t>
  </si>
  <si>
    <t>Operations</t>
  </si>
  <si>
    <t>Customer Service</t>
  </si>
  <si>
    <t>Status</t>
  </si>
  <si>
    <t>Days Until Due</t>
  </si>
  <si>
    <t>MASTER SERVER LIST</t>
  </si>
  <si>
    <t>Add or remove servers here. Changes reflect in all dropdown lists across the workbook.</t>
  </si>
  <si>
    <t>Server Name</t>
  </si>
  <si>
    <t>Default Priority</t>
  </si>
  <si>
    <t>Date Added</t>
  </si>
  <si>
    <t>Active</t>
  </si>
  <si>
    <t>MASTER SERVER INVENTORY</t>
  </si>
  <si>
    <t>Total Servers:</t>
  </si>
  <si>
    <t>Active:</t>
  </si>
  <si>
    <t>Decommissioned:</t>
  </si>
  <si>
    <t>Pending:</t>
  </si>
  <si>
    <t>Decommissioned</t>
  </si>
  <si>
    <t>Master Status</t>
  </si>
  <si>
    <t>PRIORITY TABLE (Add rows to add priorities)</t>
  </si>
  <si>
    <t>Days</t>
  </si>
  <si>
    <t>SQL DBs, Production Web VMs, ERP</t>
  </si>
  <si>
    <t>Application Servers, Reports</t>
  </si>
  <si>
    <t>PRIORITY SYSTEM</t>
  </si>
  <si>
    <t>Active Priorities:</t>
  </si>
  <si>
    <t>To add priority:</t>
  </si>
  <si>
    <t>Add new rows above this line to create more priorities</t>
  </si>
  <si>
    <t>Cluster 2</t>
  </si>
  <si>
    <t>Cluster 3</t>
  </si>
  <si>
    <t>Cluster 4</t>
  </si>
  <si>
    <t>CLUSTER LIST</t>
  </si>
  <si>
    <t>Cluster Name</t>
  </si>
  <si>
    <t>Primary datacenter</t>
  </si>
  <si>
    <t>Secondary cluster</t>
  </si>
  <si>
    <t>Development cluster</t>
  </si>
  <si>
    <t>DR/Backup cluster</t>
  </si>
  <si>
    <t>TEAM LIST</t>
  </si>
  <si>
    <t>Team Name</t>
  </si>
  <si>
    <t>1. Modify the green cells to adjust values</t>
  </si>
  <si>
    <t>2. Add rows to Priority Table to create new priorities</t>
  </si>
  <si>
    <t>3. Add cluster/team names to update dropdown lists</t>
  </si>
  <si>
    <t>4. All formulas automatically update</t>
  </si>
  <si>
    <t>Add/modify cluster names above</t>
  </si>
  <si>
    <t>OK</t>
  </si>
  <si>
    <t>(Edit in Settings sheet)</t>
  </si>
  <si>
    <t>Settings sheet, add row to Priority Table</t>
  </si>
  <si>
    <t>QUICK ACTIONS (VBA Macros)</t>
  </si>
  <si>
    <t>Select server row, run to stamp today's date</t>
  </si>
  <si>
    <t>Bulk update - enter multiple server names</t>
  </si>
  <si>
    <t>Display list of all OVERDUE servers</t>
  </si>
  <si>
    <t>Create email-ready list of overdue servers</t>
  </si>
  <si>
    <t>Generate printable patch status report</t>
  </si>
  <si>
    <t>How to run:</t>
  </si>
  <si>
    <t>Press Alt+F8, select macro, click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</si>
</sst>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;@"/>
    <numFmt numFmtId="165" formatCode="dd/mm/yyyy\ hh:mm"/>
    <numFmt numFmtId="166" formatCode="dd/mm/yyyy"/>
  </numFmts>
  <fonts count="2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sz val="11"/>
      <color theme="5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12"/>
      <color rgb="FF000000"/>
      <name val="Aptos"/>
      <family val="2"/>
    </font>
    <font>
      <sz val="6"/>
      <color rgb="FF424242"/>
      <name val="Inherit"/>
    </font>
    <font>
      <sz val="11"/>
      <color rgb="FF242424"/>
      <name val="Aptos Narrow"/>
      <charset val="1"/>
    </font>
    <font>
      <strike/>
      <sz val="11"/>
      <color rgb="FF000000"/>
      <name val="Aptos Narrow"/>
      <family val="2"/>
    </font>
    <font>
      <strike/>
      <sz val="11"/>
      <color theme="1"/>
      <name val="Calibri"/>
      <family val="2"/>
    </font>
    <font>
      <sz val="11"/>
      <color rgb="FF000000"/>
      <name val="Calibri"/>
    </font>
    <font>
      <strike/>
      <sz val="11"/>
      <color rgb="FF000000"/>
      <name val="Calibri"/>
    </font>
    <font>
      <b/>
      <sz val="16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i/>
      <sz val="11"/>
      <color rgb="FF666666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47244"/>
        <bgColor indexed="64"/>
      </patternFill>
    </fill>
    <fill>
      <patternFill patternType="solid">
        <fgColor rgb="FFF2E1D9"/>
        <bgColor indexed="64"/>
      </patternFill>
    </fill>
    <fill>
      <patternFill patternType="solid">
        <fgColor rgb="FFCEEFC6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47AD70"/>
        <bgColor indexed="64"/>
      </patternFill>
    </fill>
  </fills>
  <borders count="4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5" fillId="0" borderId="0" xfId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164" fontId="6" fillId="0" borderId="0" xfId="0" applyNumberFormat="1" applyFont="1"/>
    <xf numFmtId="0" fontId="10" fillId="0" borderId="0" xfId="0" applyFont="1"/>
    <xf numFmtId="0" fontId="11" fillId="0" borderId="1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4" borderId="0" xfId="0" applyFont="1" applyFill="1"/>
    <xf numFmtId="0" fontId="1" fillId="5" borderId="0" xfId="0" applyFont="1" applyFill="1"/>
    <xf numFmtId="0" fontId="0" fillId="6" borderId="0" xfId="0" applyFill="1"/>
    <xf numFmtId="165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166" fontId="0" fillId="0" borderId="0" xfId="0" applyNumberFormat="1" applyAlignment="1">
      <alignment horizontal="center"/>
    </xf>
    <xf numFmtId="166" fontId="0" fillId="0" borderId="0" xfId="0" applyNumberFormat="1"/>
    <xf numFmtId="166" fontId="0" fillId="0" borderId="3" xfId="0" applyNumberFormat="1" applyBorder="1" applyAlignment="1">
      <alignment horizontal="center"/>
    </xf>
    <xf numFmtId="166" fontId="0" fillId="0" borderId="2" xfId="0" applyNumberFormat="1" applyBorder="1"/>
    <xf numFmtId="166" fontId="6" fillId="0" borderId="2" xfId="0" applyNumberFormat="1" applyFont="1" applyBorder="1"/>
    <xf numFmtId="166" fontId="6" fillId="0" borderId="0" xfId="0" applyNumberFormat="1" applyFont="1"/>
    <xf numFmtId="166" fontId="1" fillId="3" borderId="0" xfId="0" applyNumberFormat="1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20" fillId="0" borderId="0" xfId="0" applyFont="1"/>
    <xf numFmtId="0" fontId="1" fillId="0" borderId="0" xfId="0" applyFont="1"/>
    <xf numFmtId="0" fontId="21" fillId="4" borderId="0" xfId="0" applyFont="1" applyFill="1"/>
    <xf numFmtId="0" fontId="22" fillId="0" borderId="0" xfId="0" applyFont="1"/>
    <xf numFmtId="0" fontId="16" fillId="4" borderId="0" xfId="0" applyFont="1" applyFill="1" applyAlignment="1">
      <alignment horizontal="center"/>
    </xf>
    <xf numFmtId="0" fontId="16" fillId="4" borderId="0" xfId="0" applyFont="1" applyFill="1"/>
    <xf numFmtId="0" fontId="17" fillId="0" borderId="0" xfId="0" applyFont="1"/>
    <xf numFmtId="0" fontId="15" fillId="0" borderId="0" xfId="0" applyFont="1"/>
    <xf numFmtId="0" fontId="18" fillId="0" borderId="0" xfId="0" applyFont="1"/>
    <xf numFmtId="0" fontId="20" fillId="0" borderId="0" xfId="0" applyFont="1"/>
  </cellXfs>
  <cellStyles count="2">
    <cellStyle name="Hyperlink" xfId="1" builtinId="8"/>
    <cellStyle name="Normal" xfId="0" builtinId="0"/>
  </cellStyles>
  <dxfs count="15"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D3D3D3"/>
        </patternFill>
      </fill>
    </dxf>
    <dxf>
      <fill>
        <patternFill>
          <bgColor rgb="FF90EE90"/>
        </patternFill>
      </fill>
    </dxf>
    <dxf>
      <font>
        <b/>
        <i val="0"/>
        <color rgb="FFFFFFFF"/>
      </font>
      <fill>
        <patternFill>
          <bgColor rgb="FFFF6B6B"/>
        </patternFill>
      </fill>
    </dxf>
    <dxf>
      <fill>
        <patternFill>
          <bgColor rgb="FFFFBE5C"/>
        </patternFill>
      </fill>
    </dxf>
    <dxf>
      <fill>
        <patternFill>
          <bgColor rgb="FFFF6B6B"/>
        </patternFill>
      </fill>
    </dxf>
    <dxf>
      <font>
        <strike/>
        <color rgb="FF808080"/>
      </font>
      <fill>
        <patternFill>
          <bgColor rgb="FFD3D3D3"/>
        </patternFill>
      </fill>
    </dxf>
    <dxf>
      <font>
        <strike/>
        <color rgb="FF808080"/>
      </font>
      <fill>
        <patternFill>
          <bgColor rgb="FFD3D3D3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DAEFE2"/>
        </patternFill>
      </fill>
    </dxf>
    <dxf>
      <fill>
        <patternFill>
          <bgColor rgb="FF9CEBFF"/>
        </patternFill>
      </fill>
    </dxf>
    <dxf>
      <font>
        <strike/>
      </font>
      <fill>
        <patternFill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bgsc@beaconlighting.com.au" TargetMode="External"/><Relationship Id="rId2" Type="http://schemas.openxmlformats.org/officeDocument/2006/relationships/hyperlink" Target="mailto:bgsc@beaconlighting.com.au" TargetMode="External"/><Relationship Id="rId1" Type="http://schemas.openxmlformats.org/officeDocument/2006/relationships/hyperlink" Target="mailto:bgsc@beaconlighting.com.au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bgsc@beaconlighting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A6F2-BD39-4CF2-9D45-FEF52DCE4641}">
  <dimension ref="A1:E40"/>
  <sheetViews>
    <sheetView workbookViewId="0">
      <selection activeCell="B24" sqref="B24"/>
    </sheetView>
  </sheetViews>
  <sheetFormatPr defaultRowHeight="14.5"/>
  <cols>
    <col min="1" max="1" width="25.6328125" customWidth="1"/>
    <col min="2" max="2" width="30.6328125" customWidth="1"/>
    <col min="3" max="3" width="15.6328125" customWidth="1"/>
  </cols>
  <sheetData>
    <row r="1" spans="1:5" ht="23.5">
      <c r="A1" s="43" t="s">
        <v>198</v>
      </c>
      <c r="B1" s="43"/>
      <c r="C1" s="43"/>
      <c r="D1" s="43"/>
      <c r="E1" s="43"/>
    </row>
    <row r="2" spans="1:5">
      <c r="A2" t="s">
        <v>199</v>
      </c>
      <c r="B2" s="24">
        <f ca="1">NOW()</f>
        <v>46031.542649421295</v>
      </c>
    </row>
    <row r="4" spans="1:5">
      <c r="A4" s="21" t="s">
        <v>200</v>
      </c>
      <c r="B4" s="39"/>
    </row>
    <row r="5" spans="1:5">
      <c r="A5" t="s">
        <v>201</v>
      </c>
      <c r="B5">
        <f>COUNTA('NextDC M1'!A:A)-1</f>
        <v>84</v>
      </c>
    </row>
    <row r="6" spans="1:5">
      <c r="A6" s="40" t="s">
        <v>202</v>
      </c>
      <c r="B6" s="25">
        <f ca="1">COUNTIF('NextDC M1'!E:E,"OVERDUE")</f>
        <v>26</v>
      </c>
    </row>
    <row r="7" spans="1:5">
      <c r="A7" s="38" t="s">
        <v>289</v>
      </c>
      <c r="B7" s="26">
        <f ca="1">COUNTIF('NextDC M1'!E:E,"OK")</f>
        <v>11</v>
      </c>
    </row>
    <row r="8" spans="1:5">
      <c r="A8" t="s">
        <v>203</v>
      </c>
      <c r="B8" s="27">
        <f ca="1">COUNTIF('NextDC M1'!E:E,"UNSCHEDULED")</f>
        <v>47</v>
      </c>
    </row>
    <row r="11" spans="1:5">
      <c r="A11" s="42" t="s">
        <v>204</v>
      </c>
      <c r="B11" s="42"/>
      <c r="C11" s="42"/>
    </row>
    <row r="12" spans="1:5">
      <c r="A12" s="22" t="s">
        <v>10</v>
      </c>
      <c r="B12" s="22" t="s">
        <v>205</v>
      </c>
      <c r="C12" s="22" t="s">
        <v>206</v>
      </c>
    </row>
    <row r="13" spans="1:5">
      <c r="A13" t="s">
        <v>207</v>
      </c>
      <c r="B13">
        <f>COUNTIF('NextDC M1'!B:B,1)</f>
        <v>18</v>
      </c>
      <c r="C13">
        <f ca="1">SUMPRODUCT(('NextDC M1'!B2:B98=1)*('NextDC M1'!C2:C98&lt;TODAY())*ISNUMBER('NextDC M1'!C2:C98))</f>
        <v>13</v>
      </c>
    </row>
    <row r="14" spans="1:5">
      <c r="A14" t="s">
        <v>208</v>
      </c>
      <c r="B14">
        <f>COUNTIF('NextDC M1'!B:B,2)</f>
        <v>51</v>
      </c>
      <c r="C14">
        <f ca="1">SUMPRODUCT(('NextDC M1'!B2:B98=2)*('NextDC M1'!C2:C98&lt;TODAY())*ISNUMBER('NextDC M1'!C2:C98))</f>
        <v>12</v>
      </c>
    </row>
    <row r="15" spans="1:5">
      <c r="A15" t="s">
        <v>209</v>
      </c>
      <c r="B15">
        <f>COUNTIF('NextDC M1'!B:B,3)</f>
        <v>15</v>
      </c>
      <c r="C15">
        <f ca="1">SUMPRODUCT(('NextDC M1'!B2:B98=3)*('NextDC M1'!C2:C98&lt;TODAY())*ISNUMBER('NextDC M1'!C2:C98))</f>
        <v>1</v>
      </c>
    </row>
    <row r="17" spans="1:3">
      <c r="A17" s="21" t="s">
        <v>210</v>
      </c>
      <c r="B17" s="39"/>
    </row>
    <row r="18" spans="1:3">
      <c r="A18" t="s">
        <v>211</v>
      </c>
      <c r="B18" t="str">
        <f>Settings!B4 &amp; " days"</f>
        <v>Days days</v>
      </c>
    </row>
    <row r="19" spans="1:3">
      <c r="A19" t="s">
        <v>212</v>
      </c>
      <c r="B19" t="str">
        <f>Settings!B5 &amp; " days"</f>
        <v>30 days</v>
      </c>
    </row>
    <row r="20" spans="1:3">
      <c r="A20" t="s">
        <v>213</v>
      </c>
      <c r="B20" t="str">
        <f>Settings!B6 &amp; " days"</f>
        <v>60 days</v>
      </c>
    </row>
    <row r="21" spans="1:3">
      <c r="A21" s="37" t="s">
        <v>290</v>
      </c>
    </row>
    <row r="23" spans="1:3">
      <c r="A23" s="21" t="s">
        <v>292</v>
      </c>
      <c r="B23" s="39"/>
      <c r="C23" s="39"/>
    </row>
    <row r="24" spans="1:3">
      <c r="A24" s="38" t="s">
        <v>214</v>
      </c>
      <c r="B24" t="s">
        <v>293</v>
      </c>
    </row>
    <row r="25" spans="1:3">
      <c r="A25" s="38" t="s">
        <v>215</v>
      </c>
      <c r="B25" t="s">
        <v>294</v>
      </c>
    </row>
    <row r="26" spans="1:3">
      <c r="A26" s="38" t="s">
        <v>216</v>
      </c>
      <c r="B26" t="s">
        <v>295</v>
      </c>
    </row>
    <row r="27" spans="1:3">
      <c r="A27" s="38" t="s">
        <v>217</v>
      </c>
      <c r="B27" t="s">
        <v>296</v>
      </c>
    </row>
    <row r="28" spans="1:3">
      <c r="A28" s="38" t="s">
        <v>218</v>
      </c>
      <c r="B28" t="s">
        <v>297</v>
      </c>
    </row>
    <row r="29" spans="1:3">
      <c r="A29" s="37" t="s">
        <v>298</v>
      </c>
      <c r="B29" s="37" t="s">
        <v>299</v>
      </c>
    </row>
    <row r="32" spans="1:3">
      <c r="A32" s="42" t="s">
        <v>258</v>
      </c>
      <c r="B32" s="42"/>
    </row>
    <row r="33" spans="1:2">
      <c r="A33" t="s">
        <v>259</v>
      </c>
      <c r="B33">
        <f>COUNTA('Master Servers'!A5:A200)</f>
        <v>84</v>
      </c>
    </row>
    <row r="34" spans="1:2">
      <c r="A34" t="s">
        <v>260</v>
      </c>
      <c r="B34">
        <f>COUNTIF('Master Servers'!D:D,"Active")</f>
        <v>83</v>
      </c>
    </row>
    <row r="35" spans="1:2">
      <c r="A35" t="s">
        <v>261</v>
      </c>
      <c r="B35">
        <f>COUNTIF('Master Servers'!D:D,"Decommissioned")</f>
        <v>1</v>
      </c>
    </row>
    <row r="36" spans="1:2">
      <c r="A36" t="s">
        <v>262</v>
      </c>
      <c r="B36">
        <f>COUNTIF('Master Servers'!D:D,"Pending")</f>
        <v>0</v>
      </c>
    </row>
    <row r="38" spans="1:2">
      <c r="A38" s="21" t="s">
        <v>269</v>
      </c>
      <c r="B38" s="39"/>
    </row>
    <row r="39" spans="1:2">
      <c r="A39" t="s">
        <v>270</v>
      </c>
      <c r="B39">
        <f>COUNTA(Settings!A5:A9)</f>
        <v>5</v>
      </c>
    </row>
    <row r="40" spans="1:2">
      <c r="A40" t="s">
        <v>271</v>
      </c>
      <c r="B40" t="s">
        <v>291</v>
      </c>
    </row>
  </sheetData>
  <mergeCells count="3">
    <mergeCell ref="A32:B32"/>
    <mergeCell ref="A1:E1"/>
    <mergeCell ref="A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E91F-026C-476D-ADA8-8B57311E601F}">
  <dimension ref="A1:F88"/>
  <sheetViews>
    <sheetView topLeftCell="A24" workbookViewId="0">
      <selection activeCell="C57" sqref="C57"/>
    </sheetView>
  </sheetViews>
  <sheetFormatPr defaultRowHeight="14.5"/>
  <cols>
    <col min="1" max="1" width="25.6328125" customWidth="1"/>
    <col min="2" max="2" width="15.6328125" style="3" customWidth="1"/>
    <col min="3" max="3" width="18.6328125" style="3" customWidth="1"/>
    <col min="4" max="5" width="15.6328125" style="3" customWidth="1"/>
    <col min="6" max="6" width="35.6328125" style="3" customWidth="1"/>
  </cols>
  <sheetData>
    <row r="1" spans="1:6" ht="21">
      <c r="A1" s="44" t="s">
        <v>252</v>
      </c>
      <c r="B1" s="44"/>
      <c r="C1" s="44"/>
      <c r="D1" s="44"/>
      <c r="E1" s="44"/>
      <c r="F1" s="44"/>
    </row>
    <row r="2" spans="1:6">
      <c r="A2" s="45" t="s">
        <v>253</v>
      </c>
      <c r="B2" s="45"/>
      <c r="C2" s="45"/>
      <c r="D2" s="45"/>
      <c r="E2" s="45"/>
      <c r="F2" s="45"/>
    </row>
    <row r="4" spans="1:6">
      <c r="A4" s="21" t="s">
        <v>254</v>
      </c>
      <c r="B4" s="41" t="s">
        <v>7</v>
      </c>
      <c r="C4" s="41" t="s">
        <v>255</v>
      </c>
      <c r="D4" s="41" t="s">
        <v>250</v>
      </c>
      <c r="E4" s="41" t="s">
        <v>256</v>
      </c>
      <c r="F4" s="41" t="s">
        <v>185</v>
      </c>
    </row>
    <row r="5" spans="1:6">
      <c r="A5" t="s">
        <v>16</v>
      </c>
      <c r="B5" s="3" t="s">
        <v>17</v>
      </c>
      <c r="C5" s="3">
        <v>2</v>
      </c>
      <c r="D5" s="3" t="s">
        <v>257</v>
      </c>
      <c r="E5" s="28">
        <v>46266</v>
      </c>
    </row>
    <row r="6" spans="1:6">
      <c r="A6" t="s">
        <v>22</v>
      </c>
      <c r="B6" s="3" t="s">
        <v>17</v>
      </c>
      <c r="C6" s="3">
        <v>2</v>
      </c>
      <c r="D6" s="3" t="s">
        <v>257</v>
      </c>
      <c r="E6" s="28">
        <v>46266</v>
      </c>
    </row>
    <row r="7" spans="1:6">
      <c r="A7" t="s">
        <v>27</v>
      </c>
      <c r="B7" s="3" t="s">
        <v>17</v>
      </c>
      <c r="C7" s="3">
        <v>2</v>
      </c>
      <c r="D7" s="3" t="s">
        <v>257</v>
      </c>
      <c r="E7" s="28">
        <v>46266</v>
      </c>
    </row>
    <row r="8" spans="1:6">
      <c r="A8" t="s">
        <v>31</v>
      </c>
      <c r="B8" s="3" t="s">
        <v>17</v>
      </c>
      <c r="C8" s="3">
        <v>2</v>
      </c>
      <c r="D8" s="3" t="s">
        <v>257</v>
      </c>
      <c r="E8" s="28">
        <v>46266</v>
      </c>
    </row>
    <row r="9" spans="1:6">
      <c r="A9" t="s">
        <v>34</v>
      </c>
      <c r="B9" s="3" t="s">
        <v>17</v>
      </c>
      <c r="C9" s="3">
        <v>3</v>
      </c>
      <c r="D9" s="3" t="s">
        <v>257</v>
      </c>
      <c r="E9" s="28">
        <v>46266</v>
      </c>
    </row>
    <row r="10" spans="1:6">
      <c r="A10" t="s">
        <v>36</v>
      </c>
      <c r="B10" s="3" t="s">
        <v>17</v>
      </c>
      <c r="C10" s="3">
        <v>2</v>
      </c>
      <c r="D10" s="3" t="s">
        <v>257</v>
      </c>
      <c r="E10" s="28">
        <v>46266</v>
      </c>
    </row>
    <row r="11" spans="1:6">
      <c r="A11" t="s">
        <v>39</v>
      </c>
      <c r="B11" s="3" t="s">
        <v>17</v>
      </c>
      <c r="C11" s="3">
        <v>2</v>
      </c>
      <c r="D11" s="3" t="s">
        <v>257</v>
      </c>
      <c r="E11" s="28">
        <v>46266</v>
      </c>
    </row>
    <row r="12" spans="1:6">
      <c r="A12" t="s">
        <v>43</v>
      </c>
      <c r="B12" s="3" t="s">
        <v>17</v>
      </c>
      <c r="C12" s="3">
        <v>2</v>
      </c>
      <c r="D12" s="3" t="s">
        <v>257</v>
      </c>
      <c r="E12" s="28">
        <v>46266</v>
      </c>
    </row>
    <row r="13" spans="1:6">
      <c r="A13" t="s">
        <v>46</v>
      </c>
      <c r="B13" s="3" t="s">
        <v>17</v>
      </c>
      <c r="C13" s="3">
        <v>1</v>
      </c>
      <c r="D13" s="3" t="s">
        <v>257</v>
      </c>
      <c r="E13" s="28">
        <v>46266</v>
      </c>
    </row>
    <row r="14" spans="1:6">
      <c r="A14" t="s">
        <v>50</v>
      </c>
      <c r="B14" s="3" t="s">
        <v>17</v>
      </c>
      <c r="C14" s="3">
        <v>1</v>
      </c>
      <c r="D14" s="3" t="s">
        <v>257</v>
      </c>
      <c r="E14" s="28">
        <v>46266</v>
      </c>
    </row>
    <row r="15" spans="1:6">
      <c r="A15" t="s">
        <v>53</v>
      </c>
      <c r="B15" s="3" t="s">
        <v>17</v>
      </c>
      <c r="C15" s="3">
        <v>1</v>
      </c>
      <c r="D15" s="3" t="s">
        <v>257</v>
      </c>
      <c r="E15" s="28">
        <v>46266</v>
      </c>
    </row>
    <row r="16" spans="1:6">
      <c r="A16" t="s">
        <v>56</v>
      </c>
      <c r="B16" s="3" t="s">
        <v>17</v>
      </c>
      <c r="C16" s="3">
        <v>1</v>
      </c>
      <c r="D16" s="3" t="s">
        <v>257</v>
      </c>
      <c r="E16" s="28">
        <v>46266</v>
      </c>
    </row>
    <row r="17" spans="1:5">
      <c r="A17" t="s">
        <v>59</v>
      </c>
      <c r="B17" s="3" t="s">
        <v>17</v>
      </c>
      <c r="C17" s="3">
        <v>1</v>
      </c>
      <c r="D17" s="3" t="s">
        <v>257</v>
      </c>
      <c r="E17" s="28">
        <v>46266</v>
      </c>
    </row>
    <row r="18" spans="1:5">
      <c r="A18" t="s">
        <v>63</v>
      </c>
      <c r="B18" s="3" t="s">
        <v>17</v>
      </c>
      <c r="C18" s="3">
        <v>1</v>
      </c>
      <c r="D18" s="3" t="s">
        <v>257</v>
      </c>
      <c r="E18" s="28">
        <v>46266</v>
      </c>
    </row>
    <row r="19" spans="1:5">
      <c r="A19" t="s">
        <v>65</v>
      </c>
      <c r="B19" s="3" t="s">
        <v>17</v>
      </c>
      <c r="C19" s="3">
        <v>1</v>
      </c>
      <c r="D19" s="3" t="s">
        <v>257</v>
      </c>
      <c r="E19" s="28">
        <v>46266</v>
      </c>
    </row>
    <row r="20" spans="1:5">
      <c r="A20" t="s">
        <v>70</v>
      </c>
      <c r="B20" s="3" t="s">
        <v>17</v>
      </c>
      <c r="C20" s="3">
        <v>1</v>
      </c>
      <c r="D20" s="3" t="s">
        <v>257</v>
      </c>
      <c r="E20" s="28">
        <v>46266</v>
      </c>
    </row>
    <row r="21" spans="1:5">
      <c r="A21" t="s">
        <v>72</v>
      </c>
      <c r="B21" s="3" t="s">
        <v>17</v>
      </c>
      <c r="C21" s="3">
        <v>2</v>
      </c>
      <c r="D21" s="3" t="s">
        <v>257</v>
      </c>
      <c r="E21" s="28">
        <v>46266</v>
      </c>
    </row>
    <row r="22" spans="1:5">
      <c r="A22" t="s">
        <v>75</v>
      </c>
      <c r="B22" s="3" t="s">
        <v>17</v>
      </c>
      <c r="C22" s="3">
        <v>2</v>
      </c>
      <c r="D22" s="3" t="s">
        <v>257</v>
      </c>
      <c r="E22" s="28">
        <v>46266</v>
      </c>
    </row>
    <row r="23" spans="1:5">
      <c r="A23" t="s">
        <v>77</v>
      </c>
      <c r="B23" s="3" t="s">
        <v>17</v>
      </c>
      <c r="C23" s="3">
        <v>2</v>
      </c>
      <c r="D23" s="3" t="s">
        <v>257</v>
      </c>
      <c r="E23" s="28">
        <v>46266</v>
      </c>
    </row>
    <row r="24" spans="1:5">
      <c r="A24" t="s">
        <v>79</v>
      </c>
      <c r="B24" s="3" t="s">
        <v>17</v>
      </c>
      <c r="C24" s="3">
        <v>2</v>
      </c>
      <c r="D24" s="3" t="s">
        <v>257</v>
      </c>
      <c r="E24" s="28">
        <v>46266</v>
      </c>
    </row>
    <row r="25" spans="1:5">
      <c r="A25" t="s">
        <v>81</v>
      </c>
      <c r="B25" s="3" t="s">
        <v>17</v>
      </c>
      <c r="C25" s="3">
        <v>2</v>
      </c>
      <c r="D25" s="3" t="s">
        <v>257</v>
      </c>
      <c r="E25" s="28">
        <v>46266</v>
      </c>
    </row>
    <row r="26" spans="1:5">
      <c r="A26" t="s">
        <v>83</v>
      </c>
      <c r="B26" s="3" t="s">
        <v>17</v>
      </c>
      <c r="C26" s="3">
        <v>2</v>
      </c>
      <c r="D26" s="3" t="s">
        <v>257</v>
      </c>
      <c r="E26" s="28">
        <v>46266</v>
      </c>
    </row>
    <row r="27" spans="1:5">
      <c r="A27" t="s">
        <v>85</v>
      </c>
      <c r="B27" s="3" t="s">
        <v>17</v>
      </c>
      <c r="C27" s="3">
        <v>2</v>
      </c>
      <c r="D27" s="3" t="s">
        <v>257</v>
      </c>
      <c r="E27" s="28">
        <v>46266</v>
      </c>
    </row>
    <row r="28" spans="1:5">
      <c r="A28" t="s">
        <v>88</v>
      </c>
      <c r="B28" s="3" t="s">
        <v>17</v>
      </c>
      <c r="C28" s="3">
        <v>3</v>
      </c>
      <c r="D28" s="3" t="s">
        <v>257</v>
      </c>
      <c r="E28" s="28">
        <v>46266</v>
      </c>
    </row>
    <row r="29" spans="1:5">
      <c r="A29" t="s">
        <v>91</v>
      </c>
      <c r="B29" s="3" t="s">
        <v>17</v>
      </c>
      <c r="C29" s="3">
        <v>3</v>
      </c>
      <c r="D29" s="3" t="s">
        <v>257</v>
      </c>
      <c r="E29" s="28">
        <v>46266</v>
      </c>
    </row>
    <row r="30" spans="1:5">
      <c r="A30" t="s">
        <v>94</v>
      </c>
      <c r="B30" s="3" t="s">
        <v>17</v>
      </c>
      <c r="C30" s="3">
        <v>1</v>
      </c>
      <c r="D30" s="3" t="s">
        <v>257</v>
      </c>
      <c r="E30" s="28">
        <v>46266</v>
      </c>
    </row>
    <row r="31" spans="1:5">
      <c r="A31" t="s">
        <v>95</v>
      </c>
      <c r="B31" s="3" t="s">
        <v>17</v>
      </c>
      <c r="C31" s="3">
        <v>2</v>
      </c>
      <c r="D31" s="3" t="s">
        <v>257</v>
      </c>
      <c r="E31" s="28">
        <v>46266</v>
      </c>
    </row>
    <row r="32" spans="1:5">
      <c r="A32" t="s">
        <v>97</v>
      </c>
      <c r="B32" s="3" t="s">
        <v>17</v>
      </c>
      <c r="C32" s="3">
        <v>2</v>
      </c>
      <c r="D32" s="3" t="s">
        <v>257</v>
      </c>
      <c r="E32" s="28">
        <v>46266</v>
      </c>
    </row>
    <row r="33" spans="1:5">
      <c r="A33" t="s">
        <v>99</v>
      </c>
      <c r="B33" s="3" t="s">
        <v>17</v>
      </c>
      <c r="C33" s="3">
        <v>2</v>
      </c>
      <c r="D33" s="3" t="s">
        <v>257</v>
      </c>
      <c r="E33" s="28">
        <v>46266</v>
      </c>
    </row>
    <row r="34" spans="1:5">
      <c r="A34" t="s">
        <v>101</v>
      </c>
      <c r="B34" s="3" t="s">
        <v>17</v>
      </c>
      <c r="C34" s="3">
        <v>2</v>
      </c>
      <c r="D34" s="3" t="s">
        <v>257</v>
      </c>
      <c r="E34" s="28">
        <v>46266</v>
      </c>
    </row>
    <row r="35" spans="1:5">
      <c r="A35" t="s">
        <v>103</v>
      </c>
      <c r="B35" s="3" t="s">
        <v>17</v>
      </c>
      <c r="C35" s="3">
        <v>2</v>
      </c>
      <c r="D35" s="3" t="s">
        <v>257</v>
      </c>
      <c r="E35" s="28">
        <v>46266</v>
      </c>
    </row>
    <row r="36" spans="1:5">
      <c r="A36" t="s">
        <v>104</v>
      </c>
      <c r="B36" s="3" t="s">
        <v>17</v>
      </c>
      <c r="C36" s="3">
        <v>2</v>
      </c>
      <c r="D36" s="3" t="s">
        <v>257</v>
      </c>
      <c r="E36" s="28">
        <v>46266</v>
      </c>
    </row>
    <row r="37" spans="1:5">
      <c r="A37" t="s">
        <v>105</v>
      </c>
      <c r="B37" s="3" t="s">
        <v>17</v>
      </c>
      <c r="C37" s="3">
        <v>1</v>
      </c>
      <c r="D37" s="3" t="s">
        <v>257</v>
      </c>
      <c r="E37" s="28">
        <v>46266</v>
      </c>
    </row>
    <row r="38" spans="1:5">
      <c r="A38" t="s">
        <v>107</v>
      </c>
      <c r="B38" s="3" t="s">
        <v>17</v>
      </c>
      <c r="C38" s="3">
        <v>1</v>
      </c>
      <c r="D38" s="3" t="s">
        <v>257</v>
      </c>
      <c r="E38" s="28">
        <v>46266</v>
      </c>
    </row>
    <row r="39" spans="1:5">
      <c r="A39" t="s">
        <v>109</v>
      </c>
      <c r="B39" s="3" t="s">
        <v>17</v>
      </c>
      <c r="C39" s="3">
        <v>1</v>
      </c>
      <c r="D39" s="3" t="s">
        <v>257</v>
      </c>
      <c r="E39" s="28">
        <v>46266</v>
      </c>
    </row>
    <row r="40" spans="1:5">
      <c r="A40" t="s">
        <v>111</v>
      </c>
      <c r="B40" s="3" t="s">
        <v>17</v>
      </c>
      <c r="C40" s="3">
        <v>1</v>
      </c>
      <c r="D40" s="3" t="s">
        <v>257</v>
      </c>
      <c r="E40" s="28">
        <v>46266</v>
      </c>
    </row>
    <row r="41" spans="1:5">
      <c r="A41" t="s">
        <v>114</v>
      </c>
      <c r="B41" s="3" t="s">
        <v>17</v>
      </c>
      <c r="C41" s="3">
        <v>3</v>
      </c>
      <c r="D41" s="3" t="s">
        <v>257</v>
      </c>
      <c r="E41" s="28">
        <v>46266</v>
      </c>
    </row>
    <row r="42" spans="1:5">
      <c r="A42" t="s">
        <v>115</v>
      </c>
      <c r="B42" s="3" t="s">
        <v>17</v>
      </c>
      <c r="C42" s="3">
        <v>2</v>
      </c>
      <c r="D42" s="3" t="s">
        <v>257</v>
      </c>
      <c r="E42" s="28">
        <v>46266</v>
      </c>
    </row>
    <row r="43" spans="1:5">
      <c r="A43" t="s">
        <v>116</v>
      </c>
      <c r="B43" s="3" t="s">
        <v>17</v>
      </c>
      <c r="C43" s="3">
        <v>2</v>
      </c>
      <c r="D43" s="3" t="s">
        <v>257</v>
      </c>
      <c r="E43" s="28">
        <v>46266</v>
      </c>
    </row>
    <row r="44" spans="1:5">
      <c r="A44" t="s">
        <v>117</v>
      </c>
      <c r="B44" s="3" t="s">
        <v>17</v>
      </c>
      <c r="C44" s="3">
        <v>2</v>
      </c>
      <c r="D44" s="3" t="s">
        <v>257</v>
      </c>
      <c r="E44" s="28">
        <v>46266</v>
      </c>
    </row>
    <row r="45" spans="1:5">
      <c r="A45" t="s">
        <v>119</v>
      </c>
      <c r="B45" s="3" t="s">
        <v>17</v>
      </c>
      <c r="C45" s="3">
        <v>2</v>
      </c>
      <c r="D45" s="3" t="s">
        <v>257</v>
      </c>
      <c r="E45" s="28">
        <v>46266</v>
      </c>
    </row>
    <row r="46" spans="1:5">
      <c r="A46" t="s">
        <v>120</v>
      </c>
      <c r="B46" s="3" t="s">
        <v>17</v>
      </c>
      <c r="C46" s="3">
        <v>2</v>
      </c>
      <c r="D46" s="3" t="s">
        <v>257</v>
      </c>
      <c r="E46" s="28">
        <v>46266</v>
      </c>
    </row>
    <row r="47" spans="1:5">
      <c r="A47" t="s">
        <v>121</v>
      </c>
      <c r="B47" s="3" t="s">
        <v>17</v>
      </c>
      <c r="C47" s="3">
        <v>2</v>
      </c>
      <c r="D47" s="3" t="s">
        <v>257</v>
      </c>
      <c r="E47" s="28">
        <v>46266</v>
      </c>
    </row>
    <row r="48" spans="1:5">
      <c r="A48" t="s">
        <v>122</v>
      </c>
      <c r="B48" s="3" t="s">
        <v>17</v>
      </c>
      <c r="C48" s="3">
        <v>3</v>
      </c>
      <c r="D48" s="3" t="s">
        <v>257</v>
      </c>
      <c r="E48" s="28">
        <v>46266</v>
      </c>
    </row>
    <row r="49" spans="1:5">
      <c r="A49" t="s">
        <v>124</v>
      </c>
      <c r="B49" s="3" t="s">
        <v>17</v>
      </c>
      <c r="C49" s="3">
        <v>2</v>
      </c>
      <c r="D49" s="3" t="s">
        <v>257</v>
      </c>
      <c r="E49" s="28">
        <v>46266</v>
      </c>
    </row>
    <row r="50" spans="1:5">
      <c r="A50" t="s">
        <v>125</v>
      </c>
      <c r="B50" s="3" t="s">
        <v>17</v>
      </c>
      <c r="C50" s="3">
        <v>2</v>
      </c>
      <c r="D50" s="3" t="s">
        <v>257</v>
      </c>
      <c r="E50" s="28">
        <v>46266</v>
      </c>
    </row>
    <row r="51" spans="1:5">
      <c r="A51" t="s">
        <v>126</v>
      </c>
      <c r="B51" s="3" t="s">
        <v>17</v>
      </c>
      <c r="C51" s="3">
        <v>2</v>
      </c>
      <c r="D51" s="3" t="s">
        <v>257</v>
      </c>
      <c r="E51" s="28">
        <v>46266</v>
      </c>
    </row>
    <row r="52" spans="1:5">
      <c r="A52" t="s">
        <v>127</v>
      </c>
      <c r="B52" s="3" t="s">
        <v>17</v>
      </c>
      <c r="C52" s="3">
        <v>1</v>
      </c>
      <c r="D52" s="3" t="s">
        <v>257</v>
      </c>
      <c r="E52" s="28">
        <v>46266</v>
      </c>
    </row>
    <row r="53" spans="1:5">
      <c r="A53" t="s">
        <v>128</v>
      </c>
      <c r="B53" s="3" t="s">
        <v>17</v>
      </c>
      <c r="C53" s="3">
        <v>2</v>
      </c>
      <c r="D53" s="3" t="s">
        <v>257</v>
      </c>
      <c r="E53" s="28">
        <v>46266</v>
      </c>
    </row>
    <row r="54" spans="1:5">
      <c r="A54" t="s">
        <v>129</v>
      </c>
      <c r="B54" s="3" t="s">
        <v>17</v>
      </c>
      <c r="C54" s="3">
        <v>2</v>
      </c>
      <c r="D54" s="3" t="s">
        <v>257</v>
      </c>
      <c r="E54" s="28">
        <v>46266</v>
      </c>
    </row>
    <row r="55" spans="1:5">
      <c r="A55" t="s">
        <v>130</v>
      </c>
      <c r="B55" s="3" t="s">
        <v>17</v>
      </c>
      <c r="C55" s="3">
        <v>2</v>
      </c>
      <c r="D55" s="3" t="s">
        <v>257</v>
      </c>
      <c r="E55" s="28">
        <v>46266</v>
      </c>
    </row>
    <row r="56" spans="1:5">
      <c r="A56" t="s">
        <v>131</v>
      </c>
      <c r="B56" s="3" t="s">
        <v>17</v>
      </c>
      <c r="C56" s="3">
        <v>2</v>
      </c>
      <c r="D56" s="3" t="s">
        <v>257</v>
      </c>
      <c r="E56" s="28">
        <v>46266</v>
      </c>
    </row>
    <row r="57" spans="1:5">
      <c r="A57" t="s">
        <v>132</v>
      </c>
      <c r="B57" s="3" t="s">
        <v>17</v>
      </c>
      <c r="C57" s="3">
        <v>2</v>
      </c>
      <c r="D57" s="3" t="s">
        <v>257</v>
      </c>
      <c r="E57" s="28">
        <v>46266</v>
      </c>
    </row>
    <row r="58" spans="1:5">
      <c r="A58" t="s">
        <v>133</v>
      </c>
      <c r="B58" s="3" t="s">
        <v>17</v>
      </c>
      <c r="C58" s="3">
        <v>2</v>
      </c>
      <c r="D58" s="3" t="s">
        <v>257</v>
      </c>
      <c r="E58" s="28">
        <v>46266</v>
      </c>
    </row>
    <row r="59" spans="1:5">
      <c r="A59" t="s">
        <v>134</v>
      </c>
      <c r="B59" s="3" t="s">
        <v>17</v>
      </c>
      <c r="C59" s="3">
        <v>2</v>
      </c>
      <c r="D59" s="3" t="s">
        <v>257</v>
      </c>
      <c r="E59" s="28">
        <v>46266</v>
      </c>
    </row>
    <row r="60" spans="1:5">
      <c r="A60" t="s">
        <v>136</v>
      </c>
      <c r="B60" s="3" t="s">
        <v>17</v>
      </c>
      <c r="C60" s="3">
        <v>3</v>
      </c>
      <c r="D60" s="3" t="s">
        <v>257</v>
      </c>
      <c r="E60" s="28">
        <v>46266</v>
      </c>
    </row>
    <row r="61" spans="1:5">
      <c r="A61" t="s">
        <v>138</v>
      </c>
      <c r="B61" s="3" t="s">
        <v>17</v>
      </c>
      <c r="C61" s="3">
        <v>2</v>
      </c>
      <c r="D61" s="3" t="s">
        <v>257</v>
      </c>
      <c r="E61" s="28">
        <v>46266</v>
      </c>
    </row>
    <row r="62" spans="1:5">
      <c r="A62" t="s">
        <v>139</v>
      </c>
      <c r="B62" s="3" t="s">
        <v>17</v>
      </c>
      <c r="C62" s="3">
        <v>2</v>
      </c>
      <c r="D62" s="3" t="s">
        <v>257</v>
      </c>
      <c r="E62" s="28">
        <v>46266</v>
      </c>
    </row>
    <row r="63" spans="1:5">
      <c r="A63" t="s">
        <v>140</v>
      </c>
      <c r="B63" s="3" t="s">
        <v>17</v>
      </c>
      <c r="C63" s="3">
        <v>2</v>
      </c>
      <c r="D63" s="3" t="s">
        <v>257</v>
      </c>
      <c r="E63" s="28">
        <v>46266</v>
      </c>
    </row>
    <row r="64" spans="1:5">
      <c r="A64" t="s">
        <v>142</v>
      </c>
      <c r="B64" s="3" t="s">
        <v>17</v>
      </c>
      <c r="C64" s="3">
        <v>1</v>
      </c>
      <c r="D64" s="3" t="s">
        <v>257</v>
      </c>
      <c r="E64" s="28">
        <v>46266</v>
      </c>
    </row>
    <row r="65" spans="1:5">
      <c r="A65" t="s">
        <v>145</v>
      </c>
      <c r="B65" s="3" t="s">
        <v>17</v>
      </c>
      <c r="C65" s="3">
        <v>3</v>
      </c>
      <c r="D65" s="3" t="s">
        <v>257</v>
      </c>
      <c r="E65" s="28">
        <v>46266</v>
      </c>
    </row>
    <row r="66" spans="1:5">
      <c r="A66" t="s">
        <v>147</v>
      </c>
      <c r="B66" s="3" t="s">
        <v>17</v>
      </c>
      <c r="C66" s="3">
        <v>1</v>
      </c>
      <c r="D66" s="3" t="s">
        <v>257</v>
      </c>
      <c r="E66" s="28">
        <v>46266</v>
      </c>
    </row>
    <row r="67" spans="1:5">
      <c r="A67" t="s">
        <v>149</v>
      </c>
      <c r="B67" s="3" t="s">
        <v>17</v>
      </c>
      <c r="C67" s="3">
        <v>3</v>
      </c>
      <c r="D67" s="3" t="s">
        <v>257</v>
      </c>
      <c r="E67" s="28">
        <v>46266</v>
      </c>
    </row>
    <row r="68" spans="1:5">
      <c r="A68" t="s">
        <v>151</v>
      </c>
      <c r="B68" s="3" t="s">
        <v>17</v>
      </c>
      <c r="C68" s="3">
        <v>1</v>
      </c>
      <c r="D68" s="3" t="s">
        <v>257</v>
      </c>
      <c r="E68" s="28">
        <v>46266</v>
      </c>
    </row>
    <row r="69" spans="1:5">
      <c r="A69" t="s">
        <v>154</v>
      </c>
      <c r="B69" s="3" t="s">
        <v>17</v>
      </c>
      <c r="C69" s="3">
        <v>1</v>
      </c>
      <c r="D69" s="3" t="s">
        <v>257</v>
      </c>
      <c r="E69" s="28">
        <v>46266</v>
      </c>
    </row>
    <row r="70" spans="1:5">
      <c r="A70" t="s">
        <v>156</v>
      </c>
      <c r="B70" s="3" t="s">
        <v>17</v>
      </c>
      <c r="C70" s="3">
        <v>2</v>
      </c>
      <c r="D70" s="3" t="s">
        <v>257</v>
      </c>
      <c r="E70" s="28">
        <v>46266</v>
      </c>
    </row>
    <row r="71" spans="1:5">
      <c r="A71" t="s">
        <v>158</v>
      </c>
      <c r="B71" s="3" t="s">
        <v>17</v>
      </c>
      <c r="C71" s="3">
        <v>2</v>
      </c>
      <c r="D71" s="3" t="s">
        <v>257</v>
      </c>
      <c r="E71" s="28">
        <v>46266</v>
      </c>
    </row>
    <row r="72" spans="1:5">
      <c r="A72" t="s">
        <v>159</v>
      </c>
      <c r="B72" s="3" t="s">
        <v>17</v>
      </c>
      <c r="C72" s="3">
        <v>2</v>
      </c>
      <c r="D72" s="3" t="s">
        <v>257</v>
      </c>
      <c r="E72" s="28">
        <v>46266</v>
      </c>
    </row>
    <row r="73" spans="1:5">
      <c r="A73" t="s">
        <v>160</v>
      </c>
      <c r="B73" s="3" t="s">
        <v>17</v>
      </c>
      <c r="C73" s="3">
        <v>2</v>
      </c>
      <c r="D73" s="3" t="s">
        <v>257</v>
      </c>
      <c r="E73" s="28">
        <v>46266</v>
      </c>
    </row>
    <row r="74" spans="1:5">
      <c r="A74" t="s">
        <v>162</v>
      </c>
      <c r="B74" s="3" t="s">
        <v>17</v>
      </c>
      <c r="C74" s="3">
        <v>2</v>
      </c>
      <c r="D74" s="3" t="s">
        <v>257</v>
      </c>
      <c r="E74" s="28">
        <v>46266</v>
      </c>
    </row>
    <row r="75" spans="1:5">
      <c r="A75" t="s">
        <v>163</v>
      </c>
      <c r="B75" s="3" t="s">
        <v>17</v>
      </c>
      <c r="C75" s="3">
        <v>2</v>
      </c>
      <c r="D75" s="3" t="s">
        <v>257</v>
      </c>
      <c r="E75" s="28">
        <v>46266</v>
      </c>
    </row>
    <row r="76" spans="1:5">
      <c r="A76" t="s">
        <v>164</v>
      </c>
      <c r="B76" s="3" t="s">
        <v>17</v>
      </c>
      <c r="C76" s="3">
        <v>2</v>
      </c>
      <c r="D76" s="3" t="s">
        <v>257</v>
      </c>
      <c r="E76" s="28">
        <v>46266</v>
      </c>
    </row>
    <row r="77" spans="1:5">
      <c r="A77" t="s">
        <v>165</v>
      </c>
      <c r="B77" s="3" t="s">
        <v>17</v>
      </c>
      <c r="C77" s="3">
        <v>2</v>
      </c>
      <c r="D77" s="3" t="s">
        <v>257</v>
      </c>
      <c r="E77" s="28">
        <v>46266</v>
      </c>
    </row>
    <row r="78" spans="1:5">
      <c r="A78" t="s">
        <v>166</v>
      </c>
      <c r="B78" s="3" t="s">
        <v>17</v>
      </c>
      <c r="C78" s="3">
        <v>3</v>
      </c>
      <c r="D78" s="3" t="s">
        <v>257</v>
      </c>
      <c r="E78" s="28">
        <v>46266</v>
      </c>
    </row>
    <row r="79" spans="1:5">
      <c r="A79" t="s">
        <v>168</v>
      </c>
      <c r="B79" s="3" t="s">
        <v>17</v>
      </c>
      <c r="C79" s="3">
        <v>2</v>
      </c>
      <c r="D79" s="3" t="s">
        <v>257</v>
      </c>
      <c r="E79" s="28">
        <v>46266</v>
      </c>
    </row>
    <row r="80" spans="1:5">
      <c r="A80" t="s">
        <v>169</v>
      </c>
      <c r="B80" s="3" t="s">
        <v>17</v>
      </c>
      <c r="C80" s="3">
        <v>2</v>
      </c>
      <c r="D80" s="3" t="s">
        <v>263</v>
      </c>
      <c r="E80" s="28">
        <v>46266</v>
      </c>
    </row>
    <row r="81" spans="1:5">
      <c r="A81" t="s">
        <v>170</v>
      </c>
      <c r="B81" s="3" t="s">
        <v>17</v>
      </c>
      <c r="C81" s="3">
        <v>2</v>
      </c>
      <c r="D81" s="3" t="s">
        <v>257</v>
      </c>
      <c r="E81" s="28">
        <v>46266</v>
      </c>
    </row>
    <row r="82" spans="1:5">
      <c r="A82" t="s">
        <v>171</v>
      </c>
      <c r="B82" s="3" t="s">
        <v>17</v>
      </c>
      <c r="C82" s="3">
        <v>3</v>
      </c>
      <c r="D82" s="3" t="s">
        <v>257</v>
      </c>
      <c r="E82" s="28">
        <v>46266</v>
      </c>
    </row>
    <row r="83" spans="1:5">
      <c r="A83" t="s">
        <v>173</v>
      </c>
      <c r="B83" s="3" t="s">
        <v>17</v>
      </c>
      <c r="C83" s="3">
        <v>3</v>
      </c>
      <c r="D83" s="3" t="s">
        <v>257</v>
      </c>
      <c r="E83" s="28">
        <v>46266</v>
      </c>
    </row>
    <row r="84" spans="1:5">
      <c r="A84" t="s">
        <v>175</v>
      </c>
      <c r="B84" s="3" t="s">
        <v>17</v>
      </c>
      <c r="C84" s="3">
        <v>3</v>
      </c>
      <c r="D84" s="3" t="s">
        <v>257</v>
      </c>
      <c r="E84" s="28">
        <v>46266</v>
      </c>
    </row>
    <row r="85" spans="1:5">
      <c r="A85" t="s">
        <v>176</v>
      </c>
      <c r="B85" s="3" t="s">
        <v>17</v>
      </c>
      <c r="C85" s="3">
        <v>3</v>
      </c>
      <c r="D85" s="3" t="s">
        <v>257</v>
      </c>
      <c r="E85" s="28">
        <v>46266</v>
      </c>
    </row>
    <row r="86" spans="1:5">
      <c r="A86" t="s">
        <v>178</v>
      </c>
      <c r="B86" s="3" t="s">
        <v>17</v>
      </c>
      <c r="C86" s="3">
        <v>3</v>
      </c>
      <c r="D86" s="3" t="s">
        <v>257</v>
      </c>
      <c r="E86" s="28">
        <v>46266</v>
      </c>
    </row>
    <row r="87" spans="1:5">
      <c r="A87" t="s">
        <v>180</v>
      </c>
      <c r="B87" s="3" t="s">
        <v>17</v>
      </c>
      <c r="C87" s="3">
        <v>3</v>
      </c>
      <c r="D87" s="3" t="s">
        <v>257</v>
      </c>
      <c r="E87" s="28">
        <v>46266</v>
      </c>
    </row>
    <row r="88" spans="1:5">
      <c r="A88" t="s">
        <v>182</v>
      </c>
      <c r="B88" s="3" t="s">
        <v>17</v>
      </c>
      <c r="C88" s="3">
        <v>2</v>
      </c>
      <c r="D88" s="3" t="s">
        <v>257</v>
      </c>
      <c r="E88" s="28">
        <v>46266</v>
      </c>
    </row>
  </sheetData>
  <mergeCells count="2">
    <mergeCell ref="A1:F1"/>
    <mergeCell ref="A2:F2"/>
  </mergeCells>
  <conditionalFormatting sqref="A5:F200">
    <cfRule type="expression" dxfId="14" priority="1" stopIfTrue="1">
      <formula>$D5="Decommissioned"</formula>
    </cfRule>
    <cfRule type="expression" dxfId="13" priority="2" stopIfTrue="1">
      <formula>$D5="Pending"</formula>
    </cfRule>
    <cfRule type="expression" dxfId="12" priority="3" stopIfTrue="1">
      <formula>$D5="Active"</formula>
    </cfRule>
  </conditionalFormatting>
  <dataValidations count="3">
    <dataValidation type="list" allowBlank="1" showInputMessage="1" showErrorMessage="1" sqref="D5:D200" xr:uid="{A03119E6-525E-491F-8196-77F84C4C0C2F}">
      <formula1>"Active,Decommissioned,Pending"</formula1>
    </dataValidation>
    <dataValidation type="list" allowBlank="1" showInputMessage="1" showErrorMessage="1" sqref="C5:C200" xr:uid="{3241F5BA-B0E3-4644-ACE0-C875BF909353}">
      <formula1>PriorityList</formula1>
    </dataValidation>
    <dataValidation type="list" allowBlank="1" showInputMessage="1" sqref="B5:B200" xr:uid="{D5481EAD-DF38-4D74-9318-80DD259D605B}">
      <formula1>ClusterList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BB23-D9F8-4B8C-B93E-9246C84FE9E9}">
  <dimension ref="A1:D32"/>
  <sheetViews>
    <sheetView workbookViewId="0">
      <selection activeCell="A9" sqref="A9"/>
    </sheetView>
  </sheetViews>
  <sheetFormatPr defaultRowHeight="14.5"/>
  <cols>
    <col min="1" max="2" width="25.6328125" customWidth="1"/>
    <col min="3" max="4" width="40.6328125" customWidth="1"/>
  </cols>
  <sheetData>
    <row r="1" spans="1:4" ht="21">
      <c r="A1" s="44" t="s">
        <v>186</v>
      </c>
      <c r="B1" s="44"/>
      <c r="C1" s="44"/>
      <c r="D1" s="44"/>
    </row>
    <row r="3" spans="1:4">
      <c r="A3" s="42" t="s">
        <v>265</v>
      </c>
      <c r="B3" s="42"/>
      <c r="C3" s="42"/>
      <c r="D3" s="42"/>
    </row>
    <row r="4" spans="1:4">
      <c r="A4" s="22" t="s">
        <v>10</v>
      </c>
      <c r="B4" s="22" t="s">
        <v>266</v>
      </c>
      <c r="C4" s="22" t="s">
        <v>187</v>
      </c>
      <c r="D4" s="22" t="s">
        <v>188</v>
      </c>
    </row>
    <row r="5" spans="1:4">
      <c r="A5">
        <v>1</v>
      </c>
      <c r="B5" s="23">
        <v>30</v>
      </c>
      <c r="C5" t="s">
        <v>189</v>
      </c>
      <c r="D5" t="s">
        <v>267</v>
      </c>
    </row>
    <row r="6" spans="1:4">
      <c r="A6">
        <v>2</v>
      </c>
      <c r="B6" s="23">
        <v>60</v>
      </c>
      <c r="C6" t="s">
        <v>190</v>
      </c>
      <c r="D6" t="s">
        <v>268</v>
      </c>
    </row>
    <row r="7" spans="1:4">
      <c r="A7">
        <v>3</v>
      </c>
      <c r="B7" s="23">
        <v>90</v>
      </c>
      <c r="C7" t="s">
        <v>191</v>
      </c>
      <c r="D7" t="s">
        <v>192</v>
      </c>
    </row>
    <row r="8" spans="1:4">
      <c r="A8">
        <v>4</v>
      </c>
      <c r="B8" s="23">
        <v>999</v>
      </c>
    </row>
    <row r="9" spans="1:4">
      <c r="A9">
        <v>5</v>
      </c>
      <c r="B9" s="23">
        <v>999</v>
      </c>
    </row>
    <row r="10" spans="1:4">
      <c r="A10" s="46" t="s">
        <v>272</v>
      </c>
      <c r="B10" s="46"/>
      <c r="C10" s="46"/>
      <c r="D10" s="46"/>
    </row>
    <row r="11" spans="1:4">
      <c r="A11" s="37"/>
      <c r="B11" s="37"/>
      <c r="C11" s="37"/>
      <c r="D11" s="37"/>
    </row>
    <row r="12" spans="1:4">
      <c r="A12" s="37"/>
      <c r="B12" s="37"/>
      <c r="C12" s="37"/>
      <c r="D12" s="37"/>
    </row>
    <row r="13" spans="1:4">
      <c r="A13" s="42" t="s">
        <v>276</v>
      </c>
      <c r="B13" s="42"/>
      <c r="C13" s="42"/>
      <c r="D13" s="42"/>
    </row>
    <row r="14" spans="1:4">
      <c r="A14" s="22" t="s">
        <v>277</v>
      </c>
      <c r="B14" s="22" t="s">
        <v>187</v>
      </c>
    </row>
    <row r="15" spans="1:4">
      <c r="A15" s="23" t="s">
        <v>17</v>
      </c>
      <c r="B15" t="s">
        <v>278</v>
      </c>
    </row>
    <row r="16" spans="1:4">
      <c r="A16" s="23" t="s">
        <v>273</v>
      </c>
      <c r="B16" t="s">
        <v>279</v>
      </c>
    </row>
    <row r="17" spans="1:4">
      <c r="A17" s="23" t="s">
        <v>274</v>
      </c>
      <c r="B17" t="s">
        <v>280</v>
      </c>
    </row>
    <row r="18" spans="1:4">
      <c r="A18" s="23" t="s">
        <v>275</v>
      </c>
      <c r="B18" t="s">
        <v>281</v>
      </c>
    </row>
    <row r="19" spans="1:4">
      <c r="A19" s="37" t="s">
        <v>288</v>
      </c>
    </row>
    <row r="21" spans="1:4">
      <c r="A21" s="42" t="s">
        <v>282</v>
      </c>
      <c r="B21" s="42"/>
      <c r="C21" s="42"/>
      <c r="D21" s="42"/>
    </row>
    <row r="22" spans="1:4">
      <c r="A22" s="22" t="s">
        <v>283</v>
      </c>
    </row>
    <row r="23" spans="1:4">
      <c r="A23" s="23" t="s">
        <v>19</v>
      </c>
    </row>
    <row r="24" spans="1:4">
      <c r="A24" s="23" t="s">
        <v>193</v>
      </c>
    </row>
    <row r="25" spans="1:4">
      <c r="A25" s="23" t="s">
        <v>68</v>
      </c>
    </row>
    <row r="26" spans="1:4">
      <c r="A26" s="23" t="s">
        <v>195</v>
      </c>
    </row>
    <row r="28" spans="1:4">
      <c r="A28" s="42" t="s">
        <v>197</v>
      </c>
      <c r="B28" s="42"/>
      <c r="C28" s="42"/>
      <c r="D28" s="42"/>
    </row>
    <row r="29" spans="1:4">
      <c r="A29" t="s">
        <v>284</v>
      </c>
    </row>
    <row r="30" spans="1:4">
      <c r="A30" t="s">
        <v>285</v>
      </c>
    </row>
    <row r="31" spans="1:4">
      <c r="A31" t="s">
        <v>286</v>
      </c>
    </row>
    <row r="32" spans="1:4">
      <c r="A32" t="s">
        <v>287</v>
      </c>
    </row>
  </sheetData>
  <mergeCells count="6">
    <mergeCell ref="A28:D28"/>
    <mergeCell ref="A1:D1"/>
    <mergeCell ref="A3:D3"/>
    <mergeCell ref="A10:D10"/>
    <mergeCell ref="A13:D13"/>
    <mergeCell ref="A21:D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2EDA-CBFB-4BE2-B9E9-99542491E9F9}">
  <dimension ref="A1:G19"/>
  <sheetViews>
    <sheetView workbookViewId="0">
      <selection activeCell="E19" sqref="E19"/>
    </sheetView>
  </sheetViews>
  <sheetFormatPr defaultRowHeight="14.5"/>
  <cols>
    <col min="1" max="1" width="25.6328125" customWidth="1"/>
    <col min="2" max="2" width="20.6328125" customWidth="1"/>
    <col min="3" max="3" width="35.6328125" customWidth="1"/>
    <col min="4" max="4" width="20.6328125" customWidth="1"/>
    <col min="5" max="5" width="15.6328125" customWidth="1"/>
    <col min="6" max="6" width="20.6328125" customWidth="1"/>
    <col min="7" max="7" width="30.6328125" customWidth="1"/>
  </cols>
  <sheetData>
    <row r="1" spans="1:7">
      <c r="A1" s="21" t="s">
        <v>219</v>
      </c>
      <c r="B1" s="21" t="s">
        <v>220</v>
      </c>
      <c r="C1" s="21" t="s">
        <v>221</v>
      </c>
      <c r="D1" s="21" t="s">
        <v>222</v>
      </c>
      <c r="E1" s="21" t="s">
        <v>223</v>
      </c>
      <c r="F1" s="21" t="s">
        <v>224</v>
      </c>
      <c r="G1" s="21" t="s">
        <v>185</v>
      </c>
    </row>
    <row r="2" spans="1:7">
      <c r="A2" t="s">
        <v>47</v>
      </c>
      <c r="B2" t="s">
        <v>225</v>
      </c>
      <c r="C2" t="s">
        <v>226</v>
      </c>
      <c r="E2" t="s">
        <v>189</v>
      </c>
      <c r="F2" t="s">
        <v>227</v>
      </c>
    </row>
    <row r="3" spans="1:7">
      <c r="A3" t="s">
        <v>228</v>
      </c>
      <c r="B3" t="s">
        <v>229</v>
      </c>
      <c r="C3" t="s">
        <v>230</v>
      </c>
      <c r="E3" t="s">
        <v>189</v>
      </c>
      <c r="F3" t="s">
        <v>227</v>
      </c>
    </row>
    <row r="4" spans="1:7">
      <c r="A4" t="s">
        <v>231</v>
      </c>
      <c r="B4" t="s">
        <v>232</v>
      </c>
      <c r="C4" t="s">
        <v>233</v>
      </c>
      <c r="E4" t="s">
        <v>189</v>
      </c>
      <c r="F4" t="s">
        <v>227</v>
      </c>
    </row>
    <row r="5" spans="1:7">
      <c r="A5" t="s">
        <v>234</v>
      </c>
      <c r="B5" t="s">
        <v>235</v>
      </c>
      <c r="C5" t="s">
        <v>236</v>
      </c>
      <c r="E5" t="s">
        <v>194</v>
      </c>
      <c r="F5" t="s">
        <v>227</v>
      </c>
    </row>
    <row r="6" spans="1:7">
      <c r="A6" t="s">
        <v>38</v>
      </c>
      <c r="B6" t="s">
        <v>237</v>
      </c>
      <c r="C6" t="s">
        <v>36</v>
      </c>
      <c r="E6" t="s">
        <v>190</v>
      </c>
      <c r="F6" t="s">
        <v>238</v>
      </c>
    </row>
    <row r="7" spans="1:7">
      <c r="A7" t="s">
        <v>42</v>
      </c>
      <c r="B7" t="s">
        <v>239</v>
      </c>
      <c r="C7" t="s">
        <v>39</v>
      </c>
      <c r="E7" t="s">
        <v>190</v>
      </c>
      <c r="F7" t="s">
        <v>238</v>
      </c>
    </row>
    <row r="8" spans="1:7">
      <c r="A8" t="s">
        <v>45</v>
      </c>
      <c r="B8" t="s">
        <v>239</v>
      </c>
      <c r="C8" t="s">
        <v>43</v>
      </c>
      <c r="E8" t="s">
        <v>190</v>
      </c>
      <c r="F8" t="s">
        <v>238</v>
      </c>
    </row>
    <row r="9" spans="1:7">
      <c r="A9" t="s">
        <v>240</v>
      </c>
      <c r="B9" t="s">
        <v>195</v>
      </c>
      <c r="C9" t="s">
        <v>43</v>
      </c>
      <c r="E9" t="s">
        <v>189</v>
      </c>
      <c r="F9" t="s">
        <v>227</v>
      </c>
    </row>
    <row r="10" spans="1:7">
      <c r="A10" t="s">
        <v>241</v>
      </c>
      <c r="B10" t="s">
        <v>242</v>
      </c>
      <c r="C10" t="s">
        <v>77</v>
      </c>
      <c r="E10" t="s">
        <v>190</v>
      </c>
      <c r="F10" t="s">
        <v>238</v>
      </c>
    </row>
    <row r="11" spans="1:7">
      <c r="A11" t="s">
        <v>243</v>
      </c>
      <c r="B11" t="s">
        <v>242</v>
      </c>
      <c r="C11" t="s">
        <v>79</v>
      </c>
      <c r="E11" t="s">
        <v>190</v>
      </c>
      <c r="F11" t="s">
        <v>238</v>
      </c>
    </row>
    <row r="12" spans="1:7">
      <c r="A12" t="s">
        <v>244</v>
      </c>
      <c r="B12" t="s">
        <v>237</v>
      </c>
      <c r="C12" t="s">
        <v>81</v>
      </c>
      <c r="E12" t="s">
        <v>190</v>
      </c>
      <c r="F12" t="s">
        <v>238</v>
      </c>
    </row>
    <row r="13" spans="1:7">
      <c r="A13" t="s">
        <v>245</v>
      </c>
      <c r="B13" t="s">
        <v>246</v>
      </c>
      <c r="C13" t="s">
        <v>83</v>
      </c>
      <c r="E13" t="s">
        <v>196</v>
      </c>
      <c r="F13" t="s">
        <v>238</v>
      </c>
    </row>
    <row r="14" spans="1:7">
      <c r="A14" t="s">
        <v>247</v>
      </c>
      <c r="B14" t="s">
        <v>242</v>
      </c>
      <c r="C14" t="s">
        <v>85</v>
      </c>
      <c r="E14" t="s">
        <v>194</v>
      </c>
      <c r="F14" t="s">
        <v>227</v>
      </c>
    </row>
    <row r="15" spans="1:7">
      <c r="A15" t="s">
        <v>49</v>
      </c>
      <c r="B15" t="s">
        <v>248</v>
      </c>
      <c r="C15" t="s">
        <v>46</v>
      </c>
      <c r="E15" t="s">
        <v>190</v>
      </c>
      <c r="F15" t="s">
        <v>238</v>
      </c>
    </row>
    <row r="16" spans="1:7">
      <c r="A16" t="s">
        <v>52</v>
      </c>
      <c r="B16" t="s">
        <v>248</v>
      </c>
      <c r="C16" t="s">
        <v>50</v>
      </c>
      <c r="E16" t="s">
        <v>190</v>
      </c>
      <c r="F16" t="s">
        <v>238</v>
      </c>
    </row>
    <row r="17" spans="1:6">
      <c r="A17" t="s">
        <v>55</v>
      </c>
      <c r="B17" t="s">
        <v>249</v>
      </c>
      <c r="C17" t="s">
        <v>53</v>
      </c>
      <c r="E17" t="s">
        <v>196</v>
      </c>
      <c r="F17" t="s">
        <v>238</v>
      </c>
    </row>
    <row r="18" spans="1:6">
      <c r="A18" t="s">
        <v>58</v>
      </c>
      <c r="B18" t="s">
        <v>242</v>
      </c>
      <c r="C18" t="s">
        <v>56</v>
      </c>
      <c r="E18" t="s">
        <v>194</v>
      </c>
      <c r="F18" t="s">
        <v>238</v>
      </c>
    </row>
    <row r="19" spans="1:6">
      <c r="A19" t="s">
        <v>62</v>
      </c>
      <c r="B19" t="s">
        <v>242</v>
      </c>
      <c r="C19" t="s">
        <v>59</v>
      </c>
      <c r="E19" t="s">
        <v>194</v>
      </c>
      <c r="F19" t="s">
        <v>227</v>
      </c>
    </row>
  </sheetData>
  <dataValidations count="2">
    <dataValidation type="list" allowBlank="1" showInputMessage="1" showErrorMessage="1" sqref="E2:E100" xr:uid="{C07FAED1-099D-4B2E-B72E-81B2A64DFDFA}">
      <formula1>"Critical,High,Medium,Low"</formula1>
    </dataValidation>
    <dataValidation type="list" allowBlank="1" showInputMessage="1" showErrorMessage="1" sqref="F2:F100" xr:uid="{2B1614EE-193F-4AD0-B247-DBA1CE16FD31}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0601-6830-467D-8336-7950E8695B94}">
  <dimension ref="A1:AC85"/>
  <sheetViews>
    <sheetView zoomScale="70" zoomScaleNormal="70" workbookViewId="0">
      <pane ySplit="1" topLeftCell="A33" activePane="bottomLeft" state="frozen"/>
      <selection pane="bottomLeft" activeCell="F84" sqref="F84"/>
    </sheetView>
  </sheetViews>
  <sheetFormatPr defaultRowHeight="14.5"/>
  <cols>
    <col min="1" max="1" width="20.6328125" customWidth="1"/>
    <col min="2" max="2" width="10.6328125" customWidth="1"/>
    <col min="3" max="4" width="18.6328125" customWidth="1"/>
    <col min="5" max="7" width="15.6328125" customWidth="1"/>
    <col min="8" max="8" width="15.08984375" customWidth="1"/>
    <col min="9" max="9" width="15.6328125" customWidth="1"/>
    <col min="10" max="19" width="12" customWidth="1"/>
    <col min="20" max="23" width="10.26953125" bestFit="1" customWidth="1"/>
    <col min="25" max="26" width="15.6328125" customWidth="1"/>
    <col min="27" max="29" width="10.26953125" bestFit="1" customWidth="1"/>
  </cols>
  <sheetData>
    <row r="1" spans="1:29" ht="29.5" thickBot="1">
      <c r="A1" s="14" t="s">
        <v>6</v>
      </c>
      <c r="B1" s="14" t="s">
        <v>10</v>
      </c>
      <c r="C1" s="14" t="s">
        <v>183</v>
      </c>
      <c r="D1" s="14" t="s">
        <v>9</v>
      </c>
      <c r="E1" s="35" t="s">
        <v>250</v>
      </c>
      <c r="F1" s="35" t="s">
        <v>251</v>
      </c>
      <c r="G1" s="35" t="s">
        <v>264</v>
      </c>
      <c r="H1" s="35" t="s">
        <v>185</v>
      </c>
      <c r="I1" s="36" t="s">
        <v>184</v>
      </c>
      <c r="J1" s="34"/>
      <c r="K1" s="34"/>
      <c r="L1" s="34"/>
      <c r="M1" s="34"/>
      <c r="N1" s="34"/>
      <c r="O1" s="34"/>
      <c r="P1" s="34"/>
      <c r="Q1" s="34"/>
      <c r="R1" s="34"/>
      <c r="S1" s="34"/>
      <c r="T1" s="29"/>
      <c r="AA1" s="29"/>
      <c r="AB1" s="29"/>
      <c r="AC1" s="29"/>
    </row>
    <row r="2" spans="1:29" ht="15" thickBot="1">
      <c r="A2" s="1" t="s">
        <v>16</v>
      </c>
      <c r="B2" s="3">
        <f t="shared" ref="B2:B33" si="0">IFERROR(VLOOKUP(A2,MasterServerData,3,FALSE),"")</f>
        <v>2</v>
      </c>
      <c r="C2" s="28">
        <f t="shared" ref="C2:C33" si="1">IFERROR(IF(OR(B2="",NOT(ISNUMBER(B2)),NOT(ISNUMBER(D2))),"No date",D2+VLOOKUP(B2,PriorityTable,2,FALSE)),"No date")</f>
        <v>45969</v>
      </c>
      <c r="D2" s="28">
        <f t="shared" ref="D2:D33" si="2">IF(COUNT(I2:ZY2)=0,"No Date",MAX(I2:ZY2))</f>
        <v>45909</v>
      </c>
      <c r="E2" s="3" t="str">
        <f t="shared" ref="E2:E33" ca="1" si="3">IFERROR(IF(OR(B2="",C2="No date"),"UNSCHEDULED",IF(C2&lt;TODAY(),"OVERDUE","OK")),"UNSCHEDULED")</f>
        <v>OVERDUE</v>
      </c>
      <c r="F2" s="3">
        <f t="shared" ref="F2:F33" ca="1" si="4">IF(AND(ISNUMBER(C2),C2&lt;&gt;0),C2-TODAY(),"N/A")</f>
        <v>-62</v>
      </c>
      <c r="G2" s="3" t="str">
        <f t="shared" ref="G2:G33" si="5">IFERROR(VLOOKUP(A2,MasterStatusData,4,FALSE),"")</f>
        <v>Active</v>
      </c>
      <c r="H2" s="28"/>
      <c r="I2" s="31">
        <v>45909</v>
      </c>
      <c r="J2" s="29"/>
      <c r="K2" s="29"/>
      <c r="L2" s="29"/>
      <c r="M2" s="29"/>
      <c r="N2" s="4"/>
      <c r="O2" s="4"/>
      <c r="P2" s="4"/>
      <c r="Q2" s="4"/>
      <c r="R2" s="4"/>
      <c r="S2" s="4"/>
      <c r="T2" s="4"/>
      <c r="AA2" s="4"/>
    </row>
    <row r="3" spans="1:29" ht="15" thickBot="1">
      <c r="A3" s="1" t="s">
        <v>22</v>
      </c>
      <c r="B3" s="3">
        <f t="shared" si="0"/>
        <v>2</v>
      </c>
      <c r="C3" s="28">
        <f t="shared" si="1"/>
        <v>45970</v>
      </c>
      <c r="D3" s="28">
        <f t="shared" si="2"/>
        <v>45910</v>
      </c>
      <c r="E3" s="3" t="str">
        <f t="shared" ca="1" si="3"/>
        <v>OVERDUE</v>
      </c>
      <c r="F3" s="3">
        <f t="shared" ca="1" si="4"/>
        <v>-61</v>
      </c>
      <c r="G3" s="3" t="str">
        <f t="shared" si="5"/>
        <v>Active</v>
      </c>
      <c r="H3" s="28"/>
      <c r="I3" s="31">
        <v>45910</v>
      </c>
      <c r="J3" s="29"/>
      <c r="K3" s="29"/>
      <c r="L3" s="29"/>
      <c r="M3" s="29"/>
      <c r="N3" s="4"/>
      <c r="O3" s="4"/>
      <c r="P3" s="4"/>
      <c r="Q3" s="4"/>
      <c r="R3" s="4"/>
      <c r="S3" s="4"/>
      <c r="T3" s="4"/>
      <c r="AA3" s="4"/>
    </row>
    <row r="4" spans="1:29" ht="15" thickBot="1">
      <c r="A4" s="1" t="s">
        <v>27</v>
      </c>
      <c r="B4" s="3">
        <f t="shared" si="0"/>
        <v>2</v>
      </c>
      <c r="C4" s="28">
        <f t="shared" si="1"/>
        <v>46026</v>
      </c>
      <c r="D4" s="28">
        <f t="shared" si="2"/>
        <v>45966</v>
      </c>
      <c r="E4" s="3" t="str">
        <f t="shared" ca="1" si="3"/>
        <v>OVERDUE</v>
      </c>
      <c r="F4" s="3">
        <f t="shared" ca="1" si="4"/>
        <v>-5</v>
      </c>
      <c r="G4" s="3" t="str">
        <f t="shared" si="5"/>
        <v>Active</v>
      </c>
      <c r="H4" s="28"/>
      <c r="I4" s="31">
        <v>45966</v>
      </c>
      <c r="J4" s="29"/>
      <c r="K4" s="29"/>
      <c r="L4" s="29"/>
      <c r="M4" s="29"/>
      <c r="N4" s="4"/>
      <c r="O4" s="4"/>
      <c r="P4" s="4"/>
      <c r="Q4" s="4"/>
      <c r="R4" s="4"/>
      <c r="S4" s="4"/>
      <c r="T4" s="4"/>
      <c r="AA4" s="4"/>
    </row>
    <row r="5" spans="1:29" ht="15" thickBot="1">
      <c r="A5" s="1" t="s">
        <v>31</v>
      </c>
      <c r="B5" s="3">
        <f t="shared" si="0"/>
        <v>2</v>
      </c>
      <c r="C5" s="28">
        <f t="shared" si="1"/>
        <v>46019</v>
      </c>
      <c r="D5" s="28">
        <f t="shared" si="2"/>
        <v>45959</v>
      </c>
      <c r="E5" s="3" t="str">
        <f t="shared" ca="1" si="3"/>
        <v>OVERDUE</v>
      </c>
      <c r="F5" s="3">
        <f t="shared" ca="1" si="4"/>
        <v>-12</v>
      </c>
      <c r="G5" s="3" t="str">
        <f t="shared" si="5"/>
        <v>Active</v>
      </c>
      <c r="H5" s="28"/>
      <c r="I5" s="31">
        <v>45959</v>
      </c>
      <c r="J5" s="29"/>
      <c r="K5" s="29"/>
      <c r="L5" s="29"/>
      <c r="M5" s="29"/>
      <c r="N5" s="4"/>
      <c r="O5" s="4"/>
      <c r="P5" s="4"/>
      <c r="Q5" s="4"/>
      <c r="R5" s="4"/>
      <c r="S5" s="4"/>
      <c r="T5" s="4"/>
      <c r="AA5" s="4"/>
    </row>
    <row r="6" spans="1:29" ht="15" thickBot="1">
      <c r="A6" s="1" t="s">
        <v>34</v>
      </c>
      <c r="B6" s="3">
        <f t="shared" si="0"/>
        <v>3</v>
      </c>
      <c r="C6" s="28" t="str">
        <f t="shared" si="1"/>
        <v>No date</v>
      </c>
      <c r="D6" s="28" t="str">
        <f t="shared" si="2"/>
        <v>No Date</v>
      </c>
      <c r="E6" s="3" t="str">
        <f t="shared" ca="1" si="3"/>
        <v>UNSCHEDULED</v>
      </c>
      <c r="F6" s="3" t="str">
        <f t="shared" ca="1" si="4"/>
        <v>N/A</v>
      </c>
      <c r="G6" s="3" t="str">
        <f t="shared" si="5"/>
        <v>Active</v>
      </c>
      <c r="H6" s="28"/>
      <c r="I6" s="31"/>
      <c r="J6" s="29"/>
      <c r="K6" s="29"/>
      <c r="L6" s="29"/>
      <c r="M6" s="29"/>
      <c r="N6" s="4"/>
      <c r="O6" s="4"/>
      <c r="P6" s="4"/>
      <c r="Q6" s="4"/>
      <c r="R6" s="4"/>
      <c r="S6" s="4"/>
      <c r="T6" s="4"/>
      <c r="AA6" s="4"/>
    </row>
    <row r="7" spans="1:29" ht="15" thickBot="1">
      <c r="A7" s="1" t="s">
        <v>36</v>
      </c>
      <c r="B7" s="3">
        <f t="shared" si="0"/>
        <v>2</v>
      </c>
      <c r="C7" s="28">
        <f t="shared" si="1"/>
        <v>46069</v>
      </c>
      <c r="D7" s="28">
        <f t="shared" si="2"/>
        <v>46009</v>
      </c>
      <c r="E7" s="3" t="str">
        <f t="shared" ca="1" si="3"/>
        <v>OK</v>
      </c>
      <c r="F7" s="3">
        <f t="shared" ca="1" si="4"/>
        <v>38</v>
      </c>
      <c r="G7" s="3" t="str">
        <f t="shared" si="5"/>
        <v>Active</v>
      </c>
      <c r="H7" s="28"/>
      <c r="I7" s="31">
        <v>46009</v>
      </c>
      <c r="J7" s="29"/>
      <c r="K7" s="29"/>
      <c r="L7" s="29"/>
      <c r="M7" s="29"/>
      <c r="N7" s="4"/>
      <c r="O7" s="4"/>
      <c r="P7" s="4"/>
      <c r="Q7" s="4"/>
      <c r="R7" s="4"/>
      <c r="S7" s="4"/>
      <c r="T7" s="4"/>
      <c r="AA7" s="4"/>
    </row>
    <row r="8" spans="1:29" ht="15" thickBot="1">
      <c r="A8" s="1" t="s">
        <v>39</v>
      </c>
      <c r="B8" s="3">
        <f t="shared" si="0"/>
        <v>2</v>
      </c>
      <c r="C8" s="28">
        <f t="shared" si="1"/>
        <v>46068</v>
      </c>
      <c r="D8" s="28">
        <f t="shared" si="2"/>
        <v>46008</v>
      </c>
      <c r="E8" s="3" t="str">
        <f t="shared" ca="1" si="3"/>
        <v>OK</v>
      </c>
      <c r="F8" s="3">
        <f t="shared" ca="1" si="4"/>
        <v>37</v>
      </c>
      <c r="G8" s="3" t="str">
        <f t="shared" si="5"/>
        <v>Active</v>
      </c>
      <c r="H8" s="28"/>
      <c r="I8" s="31">
        <v>46008</v>
      </c>
      <c r="J8" s="29"/>
      <c r="K8" s="29"/>
      <c r="L8" s="29"/>
      <c r="M8" s="29"/>
      <c r="N8" s="4"/>
      <c r="O8" s="4"/>
      <c r="P8" s="4"/>
      <c r="Q8" s="4"/>
      <c r="R8" s="4"/>
      <c r="S8" s="4"/>
      <c r="T8" s="4"/>
      <c r="AA8" s="4"/>
    </row>
    <row r="9" spans="1:29" ht="15" thickBot="1">
      <c r="A9" s="1" t="s">
        <v>43</v>
      </c>
      <c r="B9" s="3">
        <f t="shared" si="0"/>
        <v>2</v>
      </c>
      <c r="C9" s="28">
        <f t="shared" si="1"/>
        <v>45970</v>
      </c>
      <c r="D9" s="28">
        <f t="shared" si="2"/>
        <v>45910</v>
      </c>
      <c r="E9" s="3" t="str">
        <f t="shared" ca="1" si="3"/>
        <v>OVERDUE</v>
      </c>
      <c r="F9" s="3">
        <f t="shared" ca="1" si="4"/>
        <v>-61</v>
      </c>
      <c r="G9" s="3" t="str">
        <f t="shared" si="5"/>
        <v>Active</v>
      </c>
      <c r="H9" s="28"/>
      <c r="I9" s="31">
        <v>45910</v>
      </c>
      <c r="J9" s="29"/>
      <c r="K9" s="29"/>
      <c r="L9" s="29"/>
      <c r="M9" s="29"/>
      <c r="N9" s="4"/>
      <c r="O9" s="4"/>
      <c r="P9" s="4"/>
      <c r="Q9" s="4"/>
      <c r="R9" s="4"/>
      <c r="S9" s="4"/>
      <c r="T9" s="4"/>
      <c r="AA9" s="4"/>
    </row>
    <row r="10" spans="1:29" ht="15" thickBot="1">
      <c r="A10" s="1" t="s">
        <v>46</v>
      </c>
      <c r="B10" s="3">
        <f t="shared" si="0"/>
        <v>1</v>
      </c>
      <c r="C10" s="28">
        <f t="shared" si="1"/>
        <v>45934</v>
      </c>
      <c r="D10" s="28">
        <f t="shared" si="2"/>
        <v>45904</v>
      </c>
      <c r="E10" s="3" t="str">
        <f t="shared" ca="1" si="3"/>
        <v>OVERDUE</v>
      </c>
      <c r="F10" s="3">
        <f t="shared" ca="1" si="4"/>
        <v>-97</v>
      </c>
      <c r="G10" s="3" t="str">
        <f t="shared" si="5"/>
        <v>Active</v>
      </c>
      <c r="H10" s="28"/>
      <c r="I10" s="31">
        <v>45904</v>
      </c>
      <c r="J10" s="29"/>
      <c r="K10" s="29"/>
      <c r="L10" s="29"/>
      <c r="M10" s="29"/>
      <c r="N10" s="4"/>
      <c r="O10" s="4"/>
      <c r="P10" s="4"/>
      <c r="Q10" s="4"/>
      <c r="R10" s="4"/>
      <c r="S10" s="4"/>
      <c r="T10" s="4"/>
      <c r="AA10" s="4"/>
      <c r="AB10" s="4"/>
      <c r="AC10" s="4"/>
    </row>
    <row r="11" spans="1:29" ht="15" thickBot="1">
      <c r="A11" s="1" t="s">
        <v>50</v>
      </c>
      <c r="B11" s="3">
        <f t="shared" si="0"/>
        <v>1</v>
      </c>
      <c r="C11" s="28">
        <f t="shared" si="1"/>
        <v>45934</v>
      </c>
      <c r="D11" s="28">
        <f t="shared" si="2"/>
        <v>45904</v>
      </c>
      <c r="E11" s="3" t="str">
        <f t="shared" ca="1" si="3"/>
        <v>OVERDUE</v>
      </c>
      <c r="F11" s="3">
        <f t="shared" ca="1" si="4"/>
        <v>-97</v>
      </c>
      <c r="G11" s="3" t="str">
        <f t="shared" si="5"/>
        <v>Active</v>
      </c>
      <c r="H11" s="28"/>
      <c r="I11" s="31">
        <v>45904</v>
      </c>
      <c r="J11" s="29"/>
      <c r="K11" s="29"/>
      <c r="L11" s="29"/>
      <c r="M11" s="29"/>
      <c r="N11" s="4"/>
      <c r="O11" s="4"/>
      <c r="P11" s="4"/>
      <c r="Q11" s="4"/>
      <c r="R11" s="4"/>
      <c r="S11" s="4"/>
      <c r="T11" s="4"/>
      <c r="AA11" s="4"/>
    </row>
    <row r="12" spans="1:29" ht="15" thickBot="1">
      <c r="A12" s="1" t="s">
        <v>53</v>
      </c>
      <c r="B12" s="3">
        <f t="shared" si="0"/>
        <v>1</v>
      </c>
      <c r="C12" s="28">
        <f t="shared" si="1"/>
        <v>45934</v>
      </c>
      <c r="D12" s="28">
        <f t="shared" si="2"/>
        <v>45904</v>
      </c>
      <c r="E12" s="3" t="str">
        <f t="shared" ca="1" si="3"/>
        <v>OVERDUE</v>
      </c>
      <c r="F12" s="3">
        <f t="shared" ca="1" si="4"/>
        <v>-97</v>
      </c>
      <c r="G12" s="3" t="str">
        <f t="shared" si="5"/>
        <v>Active</v>
      </c>
      <c r="H12" s="28"/>
      <c r="I12" s="31">
        <v>45904</v>
      </c>
      <c r="J12" s="29"/>
      <c r="K12" s="29"/>
      <c r="L12" s="29"/>
      <c r="M12" s="29"/>
      <c r="N12" s="4"/>
      <c r="O12" s="4"/>
      <c r="P12" s="4"/>
      <c r="Q12" s="4"/>
      <c r="R12" s="4"/>
      <c r="S12" s="4"/>
      <c r="T12" s="4"/>
      <c r="AA12" s="4"/>
    </row>
    <row r="13" spans="1:29" ht="15" thickBot="1">
      <c r="A13" s="1" t="s">
        <v>56</v>
      </c>
      <c r="B13" s="3">
        <f t="shared" si="0"/>
        <v>1</v>
      </c>
      <c r="C13" s="28">
        <f t="shared" si="1"/>
        <v>45934</v>
      </c>
      <c r="D13" s="28">
        <f t="shared" si="2"/>
        <v>45904</v>
      </c>
      <c r="E13" s="3" t="str">
        <f t="shared" ca="1" si="3"/>
        <v>OVERDUE</v>
      </c>
      <c r="F13" s="3">
        <f t="shared" ca="1" si="4"/>
        <v>-97</v>
      </c>
      <c r="G13" s="3" t="str">
        <f t="shared" si="5"/>
        <v>Active</v>
      </c>
      <c r="H13" s="28"/>
      <c r="I13" s="31">
        <v>45904</v>
      </c>
      <c r="J13" s="29"/>
      <c r="K13" s="29"/>
      <c r="L13" s="29"/>
      <c r="M13" s="29"/>
      <c r="N13" s="4"/>
      <c r="O13" s="4"/>
      <c r="P13" s="4"/>
      <c r="Q13" s="4"/>
      <c r="R13" s="4"/>
      <c r="S13" s="4"/>
      <c r="T13" s="4"/>
      <c r="AA13" s="4"/>
    </row>
    <row r="14" spans="1:29" ht="15" thickBot="1">
      <c r="A14" s="1" t="s">
        <v>59</v>
      </c>
      <c r="B14" s="3">
        <f t="shared" si="0"/>
        <v>1</v>
      </c>
      <c r="C14" s="28">
        <f t="shared" si="1"/>
        <v>45934</v>
      </c>
      <c r="D14" s="28">
        <f t="shared" si="2"/>
        <v>45904</v>
      </c>
      <c r="E14" s="3" t="str">
        <f t="shared" ca="1" si="3"/>
        <v>OVERDUE</v>
      </c>
      <c r="F14" s="3">
        <f t="shared" ca="1" si="4"/>
        <v>-97</v>
      </c>
      <c r="G14" s="3" t="str">
        <f t="shared" si="5"/>
        <v>Active</v>
      </c>
      <c r="H14" s="28"/>
      <c r="I14" s="31">
        <v>45904</v>
      </c>
      <c r="J14" s="29"/>
      <c r="K14" s="29"/>
      <c r="L14" s="29"/>
      <c r="M14" s="29"/>
      <c r="N14" s="4"/>
      <c r="O14" s="4"/>
      <c r="P14" s="4"/>
      <c r="Q14" s="4"/>
      <c r="R14" s="4"/>
      <c r="S14" s="4"/>
      <c r="T14" s="4"/>
      <c r="AA14" s="4"/>
    </row>
    <row r="15" spans="1:29" ht="15" thickBot="1">
      <c r="A15" s="1" t="s">
        <v>63</v>
      </c>
      <c r="B15" s="3">
        <f t="shared" si="0"/>
        <v>1</v>
      </c>
      <c r="C15" s="28">
        <f t="shared" si="1"/>
        <v>45958</v>
      </c>
      <c r="D15" s="28">
        <f t="shared" si="2"/>
        <v>45928</v>
      </c>
      <c r="E15" s="3" t="str">
        <f t="shared" ca="1" si="3"/>
        <v>OVERDUE</v>
      </c>
      <c r="F15" s="3">
        <f t="shared" ca="1" si="4"/>
        <v>-73</v>
      </c>
      <c r="G15" s="3" t="str">
        <f t="shared" si="5"/>
        <v>Active</v>
      </c>
      <c r="H15" s="28"/>
      <c r="I15" s="31">
        <v>45928</v>
      </c>
      <c r="J15" s="29"/>
      <c r="K15" s="29"/>
      <c r="L15" s="29"/>
      <c r="M15" s="29"/>
      <c r="N15" s="4"/>
      <c r="O15" s="4"/>
      <c r="P15" s="4"/>
      <c r="Q15" s="4"/>
      <c r="R15" s="4"/>
      <c r="S15" s="4"/>
      <c r="T15" s="4"/>
      <c r="AA15" s="4"/>
    </row>
    <row r="16" spans="1:29" ht="15" thickBot="1">
      <c r="A16" s="18" t="s">
        <v>65</v>
      </c>
      <c r="B16" s="3">
        <f t="shared" si="0"/>
        <v>1</v>
      </c>
      <c r="C16" s="28" t="str">
        <f t="shared" si="1"/>
        <v>No date</v>
      </c>
      <c r="D16" s="28" t="str">
        <f t="shared" si="2"/>
        <v>No Date</v>
      </c>
      <c r="E16" s="3" t="str">
        <f t="shared" ca="1" si="3"/>
        <v>UNSCHEDULED</v>
      </c>
      <c r="F16" s="3" t="str">
        <f t="shared" ca="1" si="4"/>
        <v>N/A</v>
      </c>
      <c r="G16" s="3" t="str">
        <f t="shared" si="5"/>
        <v>Active</v>
      </c>
      <c r="H16" s="28"/>
      <c r="I16" s="31"/>
      <c r="J16" s="29"/>
      <c r="K16" s="29"/>
      <c r="L16" s="29"/>
      <c r="M16" s="29"/>
      <c r="N16" s="4"/>
      <c r="O16" s="4"/>
      <c r="P16" s="4"/>
      <c r="Q16" s="4"/>
      <c r="R16" s="4"/>
      <c r="S16" s="4"/>
      <c r="T16" s="4"/>
      <c r="AA16" s="4"/>
    </row>
    <row r="17" spans="1:27" ht="15" thickBot="1">
      <c r="A17" s="18" t="s">
        <v>70</v>
      </c>
      <c r="B17" s="3">
        <f t="shared" si="0"/>
        <v>1</v>
      </c>
      <c r="C17" s="28" t="str">
        <f t="shared" si="1"/>
        <v>No date</v>
      </c>
      <c r="D17" s="28" t="str">
        <f t="shared" si="2"/>
        <v>No Date</v>
      </c>
      <c r="E17" s="3" t="str">
        <f t="shared" ca="1" si="3"/>
        <v>UNSCHEDULED</v>
      </c>
      <c r="F17" s="3" t="str">
        <f t="shared" ca="1" si="4"/>
        <v>N/A</v>
      </c>
      <c r="G17" s="3" t="str">
        <f t="shared" si="5"/>
        <v>Active</v>
      </c>
      <c r="H17" s="28"/>
      <c r="I17" s="31"/>
      <c r="J17" s="29"/>
      <c r="K17" s="29"/>
      <c r="L17" s="29"/>
      <c r="M17" s="29"/>
      <c r="N17" s="4"/>
      <c r="O17" s="4"/>
      <c r="P17" s="4"/>
      <c r="Q17" s="4"/>
      <c r="R17" s="4"/>
      <c r="S17" s="4"/>
      <c r="T17" s="4"/>
      <c r="AA17" s="4"/>
    </row>
    <row r="18" spans="1:27" ht="15" thickBot="1">
      <c r="A18" s="1" t="s">
        <v>72</v>
      </c>
      <c r="B18" s="3">
        <f t="shared" si="0"/>
        <v>2</v>
      </c>
      <c r="C18" s="28">
        <f t="shared" si="1"/>
        <v>46069</v>
      </c>
      <c r="D18" s="28">
        <f t="shared" si="2"/>
        <v>46009</v>
      </c>
      <c r="E18" s="3" t="str">
        <f t="shared" ca="1" si="3"/>
        <v>OK</v>
      </c>
      <c r="F18" s="3">
        <f t="shared" ca="1" si="4"/>
        <v>38</v>
      </c>
      <c r="G18" s="3" t="str">
        <f t="shared" si="5"/>
        <v>Active</v>
      </c>
      <c r="H18" s="28"/>
      <c r="I18" s="31">
        <v>46009</v>
      </c>
      <c r="J18" s="29"/>
      <c r="K18" s="29"/>
      <c r="L18" s="29"/>
      <c r="M18" s="29"/>
      <c r="N18" s="4"/>
      <c r="O18" s="4"/>
      <c r="P18" s="4"/>
      <c r="Q18" s="4"/>
      <c r="R18" s="4"/>
      <c r="S18" s="4"/>
      <c r="T18" s="4"/>
      <c r="AA18" s="4"/>
    </row>
    <row r="19" spans="1:27" ht="15" thickBot="1">
      <c r="A19" s="1" t="s">
        <v>75</v>
      </c>
      <c r="B19" s="3">
        <f t="shared" si="0"/>
        <v>2</v>
      </c>
      <c r="C19" s="28" t="str">
        <f t="shared" si="1"/>
        <v>No date</v>
      </c>
      <c r="D19" s="28" t="str">
        <f t="shared" si="2"/>
        <v>No Date</v>
      </c>
      <c r="E19" s="3" t="str">
        <f t="shared" ca="1" si="3"/>
        <v>UNSCHEDULED</v>
      </c>
      <c r="F19" s="3" t="str">
        <f t="shared" ca="1" si="4"/>
        <v>N/A</v>
      </c>
      <c r="G19" s="3" t="str">
        <f t="shared" si="5"/>
        <v>Active</v>
      </c>
      <c r="H19" s="28"/>
      <c r="I19" s="31"/>
      <c r="J19" s="29"/>
      <c r="K19" s="29"/>
      <c r="L19" s="29"/>
      <c r="M19" s="29"/>
      <c r="N19" s="4"/>
      <c r="O19" s="4"/>
      <c r="P19" s="4"/>
      <c r="Q19" s="4"/>
      <c r="R19" s="4"/>
      <c r="S19" s="4"/>
      <c r="T19" s="4"/>
      <c r="AA19" s="4"/>
    </row>
    <row r="20" spans="1:27" ht="15" thickBot="1">
      <c r="A20" s="1" t="s">
        <v>77</v>
      </c>
      <c r="B20" s="3">
        <f t="shared" si="0"/>
        <v>2</v>
      </c>
      <c r="C20" s="28" t="str">
        <f t="shared" si="1"/>
        <v>No date</v>
      </c>
      <c r="D20" s="28" t="str">
        <f t="shared" si="2"/>
        <v>No Date</v>
      </c>
      <c r="E20" s="3" t="str">
        <f t="shared" ca="1" si="3"/>
        <v>UNSCHEDULED</v>
      </c>
      <c r="F20" s="3" t="str">
        <f t="shared" ca="1" si="4"/>
        <v>N/A</v>
      </c>
      <c r="G20" s="3" t="str">
        <f t="shared" si="5"/>
        <v>Active</v>
      </c>
      <c r="H20" s="28"/>
      <c r="I20" s="31"/>
      <c r="J20" s="29"/>
      <c r="K20" s="29"/>
      <c r="L20" s="29"/>
      <c r="M20" s="29"/>
      <c r="N20" s="4"/>
      <c r="O20" s="4"/>
      <c r="P20" s="4"/>
      <c r="Q20" s="4"/>
      <c r="R20" s="4"/>
      <c r="S20" s="4"/>
      <c r="T20" s="4"/>
      <c r="AA20" s="4"/>
    </row>
    <row r="21" spans="1:27" ht="15" thickBot="1">
      <c r="A21" s="1" t="s">
        <v>79</v>
      </c>
      <c r="B21" s="3">
        <f t="shared" si="0"/>
        <v>2</v>
      </c>
      <c r="C21" s="28" t="str">
        <f t="shared" si="1"/>
        <v>No date</v>
      </c>
      <c r="D21" s="28" t="str">
        <f t="shared" si="2"/>
        <v>No Date</v>
      </c>
      <c r="E21" s="3" t="str">
        <f t="shared" ca="1" si="3"/>
        <v>UNSCHEDULED</v>
      </c>
      <c r="F21" s="3" t="str">
        <f t="shared" ca="1" si="4"/>
        <v>N/A</v>
      </c>
      <c r="G21" s="3" t="str">
        <f t="shared" si="5"/>
        <v>Active</v>
      </c>
      <c r="H21" s="28"/>
      <c r="I21" s="31"/>
      <c r="J21" s="29"/>
      <c r="K21" s="29"/>
      <c r="L21" s="29"/>
      <c r="M21" s="29"/>
      <c r="N21" s="4"/>
      <c r="O21" s="4"/>
      <c r="P21" s="4"/>
      <c r="Q21" s="4"/>
      <c r="R21" s="4"/>
      <c r="S21" s="4"/>
      <c r="T21" s="4"/>
      <c r="AA21" s="4"/>
    </row>
    <row r="22" spans="1:27" ht="15" thickBot="1">
      <c r="A22" s="1" t="s">
        <v>81</v>
      </c>
      <c r="B22" s="3">
        <f t="shared" si="0"/>
        <v>2</v>
      </c>
      <c r="C22" s="28" t="str">
        <f t="shared" si="1"/>
        <v>No date</v>
      </c>
      <c r="D22" s="28" t="str">
        <f t="shared" si="2"/>
        <v>No Date</v>
      </c>
      <c r="E22" s="3" t="str">
        <f t="shared" ca="1" si="3"/>
        <v>UNSCHEDULED</v>
      </c>
      <c r="F22" s="3" t="str">
        <f t="shared" ca="1" si="4"/>
        <v>N/A</v>
      </c>
      <c r="G22" s="3" t="str">
        <f t="shared" si="5"/>
        <v>Active</v>
      </c>
      <c r="H22" s="28"/>
      <c r="I22" s="31"/>
      <c r="J22" s="29"/>
      <c r="K22" s="29"/>
      <c r="L22" s="29"/>
      <c r="M22" s="29"/>
      <c r="N22" s="4"/>
      <c r="O22" s="4"/>
      <c r="P22" s="4"/>
      <c r="Q22" s="4"/>
      <c r="R22" s="4"/>
      <c r="S22" s="4"/>
      <c r="T22" s="4"/>
      <c r="AA22" s="4"/>
    </row>
    <row r="23" spans="1:27" ht="15" thickBot="1">
      <c r="A23" s="1" t="s">
        <v>83</v>
      </c>
      <c r="B23" s="3">
        <f t="shared" si="0"/>
        <v>2</v>
      </c>
      <c r="C23" s="28" t="str">
        <f t="shared" si="1"/>
        <v>No date</v>
      </c>
      <c r="D23" s="28" t="str">
        <f t="shared" si="2"/>
        <v>No Date</v>
      </c>
      <c r="E23" s="3" t="str">
        <f t="shared" ca="1" si="3"/>
        <v>UNSCHEDULED</v>
      </c>
      <c r="F23" s="3" t="str">
        <f t="shared" ca="1" si="4"/>
        <v>N/A</v>
      </c>
      <c r="G23" s="3" t="str">
        <f t="shared" si="5"/>
        <v>Active</v>
      </c>
      <c r="H23" s="28"/>
      <c r="I23" s="31"/>
      <c r="J23" s="29"/>
      <c r="K23" s="29"/>
      <c r="L23" s="29"/>
      <c r="M23" s="29"/>
      <c r="N23" s="4"/>
      <c r="O23" s="4"/>
      <c r="P23" s="4"/>
      <c r="Q23" s="4"/>
      <c r="R23" s="4"/>
      <c r="S23" s="4"/>
      <c r="T23" s="4"/>
      <c r="AA23" s="4"/>
    </row>
    <row r="24" spans="1:27" ht="15" thickBot="1">
      <c r="A24" s="1" t="s">
        <v>85</v>
      </c>
      <c r="B24" s="3">
        <f t="shared" si="0"/>
        <v>2</v>
      </c>
      <c r="C24" s="28" t="str">
        <f t="shared" si="1"/>
        <v>No date</v>
      </c>
      <c r="D24" s="28" t="str">
        <f t="shared" si="2"/>
        <v>No Date</v>
      </c>
      <c r="E24" s="3" t="str">
        <f t="shared" ca="1" si="3"/>
        <v>UNSCHEDULED</v>
      </c>
      <c r="F24" s="3" t="str">
        <f t="shared" ca="1" si="4"/>
        <v>N/A</v>
      </c>
      <c r="G24" s="3" t="str">
        <f t="shared" si="5"/>
        <v>Active</v>
      </c>
      <c r="H24" s="28"/>
      <c r="I24" s="31"/>
      <c r="J24" s="29"/>
      <c r="K24" s="29"/>
      <c r="L24" s="29"/>
      <c r="M24" s="29"/>
      <c r="N24" s="4"/>
      <c r="O24" s="4"/>
      <c r="P24" s="4"/>
      <c r="Q24" s="4"/>
      <c r="R24" s="4"/>
      <c r="S24" s="4"/>
      <c r="T24" s="4"/>
      <c r="AA24" s="4"/>
    </row>
    <row r="25" spans="1:27" ht="15" thickBot="1">
      <c r="A25" s="1" t="s">
        <v>88</v>
      </c>
      <c r="B25" s="3">
        <f t="shared" si="0"/>
        <v>3</v>
      </c>
      <c r="C25" s="28" t="str">
        <f t="shared" si="1"/>
        <v>No date</v>
      </c>
      <c r="D25" s="28" t="str">
        <f t="shared" si="2"/>
        <v>No Date</v>
      </c>
      <c r="E25" s="3" t="str">
        <f t="shared" ca="1" si="3"/>
        <v>UNSCHEDULED</v>
      </c>
      <c r="F25" s="3" t="str">
        <f t="shared" ca="1" si="4"/>
        <v>N/A</v>
      </c>
      <c r="G25" s="3" t="str">
        <f t="shared" si="5"/>
        <v>Active</v>
      </c>
      <c r="H25" s="28"/>
      <c r="I25" s="31"/>
      <c r="J25" s="29"/>
      <c r="K25" s="29"/>
      <c r="L25" s="29"/>
      <c r="M25" s="29"/>
      <c r="N25" s="4"/>
      <c r="O25" s="4"/>
      <c r="P25" s="4"/>
      <c r="Q25" s="4"/>
      <c r="R25" s="4"/>
      <c r="S25" s="4"/>
      <c r="T25" s="4"/>
      <c r="AA25" s="4"/>
    </row>
    <row r="26" spans="1:27" ht="15" thickBot="1">
      <c r="A26" s="1" t="s">
        <v>91</v>
      </c>
      <c r="B26" s="3">
        <f t="shared" si="0"/>
        <v>3</v>
      </c>
      <c r="C26" s="28" t="str">
        <f t="shared" si="1"/>
        <v>No date</v>
      </c>
      <c r="D26" s="28" t="str">
        <f t="shared" si="2"/>
        <v>No Date</v>
      </c>
      <c r="E26" s="3" t="str">
        <f t="shared" ca="1" si="3"/>
        <v>UNSCHEDULED</v>
      </c>
      <c r="F26" s="3" t="str">
        <f t="shared" ca="1" si="4"/>
        <v>N/A</v>
      </c>
      <c r="G26" s="3" t="str">
        <f t="shared" si="5"/>
        <v>Active</v>
      </c>
      <c r="H26" s="28"/>
      <c r="I26" s="31"/>
      <c r="J26" s="29"/>
      <c r="K26" s="29"/>
      <c r="L26" s="29"/>
      <c r="M26" s="29"/>
      <c r="N26" s="4"/>
      <c r="O26" s="4"/>
      <c r="P26" s="4"/>
      <c r="Q26" s="4"/>
      <c r="R26" s="4"/>
      <c r="S26" s="4"/>
      <c r="T26" s="4"/>
      <c r="AA26" s="4"/>
    </row>
    <row r="27" spans="1:27" ht="15" thickBot="1">
      <c r="A27" s="1" t="s">
        <v>94</v>
      </c>
      <c r="B27" s="3">
        <f t="shared" si="0"/>
        <v>1</v>
      </c>
      <c r="C27" s="28" t="str">
        <f t="shared" si="1"/>
        <v>No date</v>
      </c>
      <c r="D27" s="28" t="str">
        <f t="shared" si="2"/>
        <v>No Date</v>
      </c>
      <c r="E27" s="3" t="str">
        <f t="shared" ca="1" si="3"/>
        <v>UNSCHEDULED</v>
      </c>
      <c r="F27" s="3" t="str">
        <f t="shared" ca="1" si="4"/>
        <v>N/A</v>
      </c>
      <c r="G27" s="3" t="str">
        <f t="shared" si="5"/>
        <v>Active</v>
      </c>
      <c r="H27" s="28"/>
      <c r="I27" s="31"/>
      <c r="J27" s="29"/>
      <c r="K27" s="29"/>
      <c r="L27" s="29"/>
      <c r="M27" s="29"/>
      <c r="N27" s="4"/>
      <c r="O27" s="4"/>
      <c r="P27" s="4"/>
      <c r="Q27" s="4"/>
      <c r="R27" s="4"/>
      <c r="S27" s="4"/>
      <c r="T27" s="4"/>
      <c r="AA27" s="4"/>
    </row>
    <row r="28" spans="1:27" ht="15" thickBot="1">
      <c r="A28" s="1" t="s">
        <v>95</v>
      </c>
      <c r="B28" s="3">
        <f t="shared" si="0"/>
        <v>2</v>
      </c>
      <c r="C28" s="28">
        <f t="shared" si="1"/>
        <v>46083</v>
      </c>
      <c r="D28" s="28">
        <f t="shared" si="2"/>
        <v>46023</v>
      </c>
      <c r="E28" s="3" t="str">
        <f t="shared" ca="1" si="3"/>
        <v>OK</v>
      </c>
      <c r="F28" s="3">
        <f t="shared" ca="1" si="4"/>
        <v>52</v>
      </c>
      <c r="G28" s="3" t="str">
        <f t="shared" si="5"/>
        <v>Active</v>
      </c>
      <c r="H28" s="28"/>
      <c r="I28" s="31">
        <v>46023</v>
      </c>
      <c r="J28" s="29"/>
      <c r="K28" s="29"/>
      <c r="L28" s="29"/>
      <c r="M28" s="29"/>
      <c r="N28" s="4"/>
      <c r="O28" s="4"/>
      <c r="P28" s="4"/>
      <c r="Q28" s="4"/>
      <c r="R28" s="4"/>
      <c r="S28" s="4"/>
      <c r="T28" s="4"/>
      <c r="AA28" s="4"/>
    </row>
    <row r="29" spans="1:27" ht="15" thickBot="1">
      <c r="A29" s="1" t="s">
        <v>97</v>
      </c>
      <c r="B29" s="3">
        <f t="shared" si="0"/>
        <v>2</v>
      </c>
      <c r="C29" s="28" t="str">
        <f t="shared" si="1"/>
        <v>No date</v>
      </c>
      <c r="D29" s="28" t="str">
        <f t="shared" si="2"/>
        <v>No Date</v>
      </c>
      <c r="E29" s="3" t="str">
        <f t="shared" ca="1" si="3"/>
        <v>UNSCHEDULED</v>
      </c>
      <c r="F29" s="3" t="str">
        <f t="shared" ca="1" si="4"/>
        <v>N/A</v>
      </c>
      <c r="G29" s="3" t="str">
        <f t="shared" si="5"/>
        <v>Active</v>
      </c>
      <c r="H29" s="28"/>
      <c r="I29" s="31"/>
      <c r="J29" s="29"/>
      <c r="K29" s="29"/>
      <c r="L29" s="29"/>
      <c r="M29" s="29"/>
      <c r="N29" s="4"/>
      <c r="O29" s="4"/>
      <c r="P29" s="4"/>
      <c r="Q29" s="4"/>
      <c r="R29" s="4"/>
      <c r="S29" s="4"/>
      <c r="T29" s="4"/>
      <c r="AA29" s="4"/>
    </row>
    <row r="30" spans="1:27" ht="15" thickBot="1">
      <c r="A30" s="1" t="s">
        <v>99</v>
      </c>
      <c r="B30" s="3">
        <f t="shared" si="0"/>
        <v>2</v>
      </c>
      <c r="C30" s="28" t="str">
        <f t="shared" si="1"/>
        <v>No date</v>
      </c>
      <c r="D30" s="28" t="str">
        <f t="shared" si="2"/>
        <v>No Date</v>
      </c>
      <c r="E30" s="3" t="str">
        <f t="shared" ca="1" si="3"/>
        <v>UNSCHEDULED</v>
      </c>
      <c r="F30" s="3" t="str">
        <f t="shared" ca="1" si="4"/>
        <v>N/A</v>
      </c>
      <c r="G30" s="3" t="str">
        <f t="shared" si="5"/>
        <v>Active</v>
      </c>
      <c r="H30" s="28"/>
      <c r="I30" s="31"/>
      <c r="J30" s="29"/>
      <c r="K30" s="29"/>
      <c r="L30" s="29"/>
      <c r="M30" s="29"/>
      <c r="N30" s="4"/>
      <c r="O30" s="4"/>
      <c r="P30" s="4"/>
      <c r="Q30" s="4"/>
      <c r="R30" s="4"/>
      <c r="S30" s="4"/>
      <c r="T30" s="4"/>
      <c r="AA30" s="4"/>
    </row>
    <row r="31" spans="1:27" ht="15" thickBot="1">
      <c r="A31" s="1" t="s">
        <v>101</v>
      </c>
      <c r="B31" s="3">
        <f t="shared" si="0"/>
        <v>2</v>
      </c>
      <c r="C31" s="28" t="str">
        <f t="shared" si="1"/>
        <v>No date</v>
      </c>
      <c r="D31" s="28" t="str">
        <f t="shared" si="2"/>
        <v>No Date</v>
      </c>
      <c r="E31" s="3" t="str">
        <f t="shared" ca="1" si="3"/>
        <v>UNSCHEDULED</v>
      </c>
      <c r="F31" s="3" t="str">
        <f t="shared" ca="1" si="4"/>
        <v>N/A</v>
      </c>
      <c r="G31" s="3" t="str">
        <f t="shared" si="5"/>
        <v>Active</v>
      </c>
      <c r="H31" s="28"/>
      <c r="I31" s="31"/>
      <c r="J31" s="29"/>
      <c r="K31" s="29"/>
      <c r="L31" s="29"/>
      <c r="M31" s="29"/>
      <c r="N31" s="4"/>
      <c r="O31" s="4"/>
      <c r="P31" s="4"/>
      <c r="Q31" s="4"/>
      <c r="R31" s="4"/>
      <c r="S31" s="4"/>
      <c r="T31" s="4"/>
      <c r="AA31" s="4"/>
    </row>
    <row r="32" spans="1:27" ht="15" thickBot="1">
      <c r="A32" s="1" t="s">
        <v>103</v>
      </c>
      <c r="B32" s="3">
        <f t="shared" si="0"/>
        <v>2</v>
      </c>
      <c r="C32" s="28" t="str">
        <f t="shared" si="1"/>
        <v>No date</v>
      </c>
      <c r="D32" s="28" t="str">
        <f t="shared" si="2"/>
        <v>No Date</v>
      </c>
      <c r="E32" s="3" t="str">
        <f t="shared" ca="1" si="3"/>
        <v>UNSCHEDULED</v>
      </c>
      <c r="F32" s="3" t="str">
        <f t="shared" ca="1" si="4"/>
        <v>N/A</v>
      </c>
      <c r="G32" s="3" t="str">
        <f t="shared" si="5"/>
        <v>Active</v>
      </c>
      <c r="H32" s="28"/>
      <c r="I32" s="31"/>
      <c r="J32" s="29"/>
      <c r="K32" s="29"/>
      <c r="L32" s="29"/>
      <c r="M32" s="29"/>
      <c r="N32" s="4"/>
      <c r="O32" s="4"/>
      <c r="P32" s="4"/>
      <c r="Q32" s="4"/>
      <c r="R32" s="4"/>
      <c r="S32" s="4"/>
      <c r="T32" s="4"/>
      <c r="AA32" s="4"/>
    </row>
    <row r="33" spans="1:27" ht="15" thickBot="1">
      <c r="A33" s="1" t="s">
        <v>104</v>
      </c>
      <c r="B33" s="3">
        <f t="shared" si="0"/>
        <v>2</v>
      </c>
      <c r="C33" s="28" t="str">
        <f t="shared" si="1"/>
        <v>No date</v>
      </c>
      <c r="D33" s="28" t="str">
        <f t="shared" si="2"/>
        <v>No Date</v>
      </c>
      <c r="E33" s="3" t="str">
        <f t="shared" ca="1" si="3"/>
        <v>UNSCHEDULED</v>
      </c>
      <c r="F33" s="3" t="str">
        <f t="shared" ca="1" si="4"/>
        <v>N/A</v>
      </c>
      <c r="G33" s="3" t="str">
        <f t="shared" si="5"/>
        <v>Active</v>
      </c>
      <c r="H33" s="28"/>
      <c r="I33" s="31"/>
      <c r="J33" s="29"/>
      <c r="K33" s="29"/>
      <c r="L33" s="29"/>
      <c r="M33" s="29"/>
      <c r="N33" s="4"/>
      <c r="O33" s="4"/>
      <c r="P33" s="4"/>
      <c r="Q33" s="4"/>
      <c r="R33" s="4"/>
      <c r="S33" s="4"/>
      <c r="T33" s="4"/>
      <c r="AA33" s="4"/>
    </row>
    <row r="34" spans="1:27" ht="15" thickBot="1">
      <c r="A34" s="1" t="s">
        <v>105</v>
      </c>
      <c r="B34" s="3">
        <f t="shared" ref="B34:B65" si="6">IFERROR(VLOOKUP(A34,MasterServerData,3,FALSE),"")</f>
        <v>1</v>
      </c>
      <c r="C34" s="28" t="str">
        <f t="shared" ref="C34:C65" si="7">IFERROR(IF(OR(B34="",NOT(ISNUMBER(B34)),NOT(ISNUMBER(D34))),"No date",D34+VLOOKUP(B34,PriorityTable,2,FALSE)),"No date")</f>
        <v>No date</v>
      </c>
      <c r="D34" s="28" t="str">
        <f t="shared" ref="D34:D65" si="8">IF(COUNT(I34:ZY34)=0,"No Date",MAX(I34:ZY34))</f>
        <v>No Date</v>
      </c>
      <c r="E34" s="3" t="str">
        <f t="shared" ref="E34:E65" ca="1" si="9">IFERROR(IF(OR(B34="",C34="No date"),"UNSCHEDULED",IF(C34&lt;TODAY(),"OVERDUE","OK")),"UNSCHEDULED")</f>
        <v>UNSCHEDULED</v>
      </c>
      <c r="F34" s="3" t="str">
        <f t="shared" ref="F34:F65" ca="1" si="10">IF(AND(ISNUMBER(C34),C34&lt;&gt;0),C34-TODAY(),"N/A")</f>
        <v>N/A</v>
      </c>
      <c r="G34" s="3" t="str">
        <f t="shared" ref="G34:G65" si="11">IFERROR(VLOOKUP(A34,MasterStatusData,4,FALSE),"")</f>
        <v>Active</v>
      </c>
      <c r="H34" s="28"/>
      <c r="I34" s="32"/>
      <c r="J34" s="33"/>
      <c r="K34" s="33"/>
      <c r="L34" s="33"/>
      <c r="M34" s="33"/>
      <c r="N34" s="16"/>
      <c r="O34" s="16"/>
      <c r="P34" s="16"/>
      <c r="Q34" s="16"/>
      <c r="R34" s="16"/>
      <c r="S34" s="16"/>
      <c r="T34" s="4"/>
      <c r="AA34" s="4"/>
    </row>
    <row r="35" spans="1:27" ht="15" thickBot="1">
      <c r="A35" s="1" t="s">
        <v>107</v>
      </c>
      <c r="B35" s="3">
        <f t="shared" si="6"/>
        <v>1</v>
      </c>
      <c r="C35" s="28">
        <f t="shared" si="7"/>
        <v>45940</v>
      </c>
      <c r="D35" s="28">
        <f t="shared" si="8"/>
        <v>45910</v>
      </c>
      <c r="E35" s="3" t="str">
        <f t="shared" ca="1" si="9"/>
        <v>OVERDUE</v>
      </c>
      <c r="F35" s="3">
        <f t="shared" ca="1" si="10"/>
        <v>-91</v>
      </c>
      <c r="G35" s="3" t="str">
        <f t="shared" si="11"/>
        <v>Active</v>
      </c>
      <c r="H35" s="28"/>
      <c r="I35" s="32">
        <v>45910</v>
      </c>
      <c r="J35" s="33"/>
      <c r="K35" s="33"/>
      <c r="L35" s="33"/>
      <c r="M35" s="33"/>
      <c r="N35" s="16"/>
      <c r="O35" s="16"/>
      <c r="P35" s="16"/>
      <c r="Q35" s="16"/>
      <c r="R35" s="16"/>
      <c r="S35" s="16"/>
      <c r="T35" s="4"/>
      <c r="AA35" s="4"/>
    </row>
    <row r="36" spans="1:27" ht="15" thickBot="1">
      <c r="A36" s="1" t="s">
        <v>109</v>
      </c>
      <c r="B36" s="3">
        <f t="shared" si="6"/>
        <v>1</v>
      </c>
      <c r="C36" s="28">
        <f t="shared" si="7"/>
        <v>45940</v>
      </c>
      <c r="D36" s="28">
        <f t="shared" si="8"/>
        <v>45910</v>
      </c>
      <c r="E36" s="3" t="str">
        <f t="shared" ca="1" si="9"/>
        <v>OVERDUE</v>
      </c>
      <c r="F36" s="3">
        <f t="shared" ca="1" si="10"/>
        <v>-91</v>
      </c>
      <c r="G36" s="3" t="str">
        <f t="shared" si="11"/>
        <v>Active</v>
      </c>
      <c r="H36" s="28"/>
      <c r="I36" s="32">
        <v>45910</v>
      </c>
      <c r="J36" s="33"/>
      <c r="K36" s="33"/>
      <c r="L36" s="33"/>
      <c r="M36" s="33"/>
      <c r="N36" s="16"/>
      <c r="O36" s="16"/>
      <c r="P36" s="16"/>
      <c r="Q36" s="16"/>
      <c r="R36" s="16"/>
      <c r="S36" s="16"/>
      <c r="T36" s="4"/>
      <c r="AA36" s="4"/>
    </row>
    <row r="37" spans="1:27" ht="15" thickBot="1">
      <c r="A37" s="1" t="s">
        <v>111</v>
      </c>
      <c r="B37" s="3">
        <f t="shared" si="6"/>
        <v>1</v>
      </c>
      <c r="C37" s="28">
        <f t="shared" si="7"/>
        <v>45935</v>
      </c>
      <c r="D37" s="28">
        <f t="shared" si="8"/>
        <v>45905</v>
      </c>
      <c r="E37" s="3" t="str">
        <f t="shared" ca="1" si="9"/>
        <v>OVERDUE</v>
      </c>
      <c r="F37" s="3">
        <f t="shared" ca="1" si="10"/>
        <v>-96</v>
      </c>
      <c r="G37" s="3" t="str">
        <f t="shared" si="11"/>
        <v>Active</v>
      </c>
      <c r="H37" s="28"/>
      <c r="I37" s="31">
        <v>45905</v>
      </c>
      <c r="J37" s="29"/>
      <c r="K37" s="29"/>
      <c r="L37" s="29"/>
      <c r="M37" s="29"/>
      <c r="N37" s="4"/>
      <c r="O37" s="4"/>
      <c r="P37" s="4"/>
      <c r="Q37" s="4"/>
      <c r="R37" s="4"/>
      <c r="S37" s="4"/>
      <c r="T37" s="4"/>
      <c r="AA37" s="4"/>
    </row>
    <row r="38" spans="1:27" ht="15" thickBot="1">
      <c r="A38" s="1" t="s">
        <v>114</v>
      </c>
      <c r="B38" s="3">
        <f t="shared" si="6"/>
        <v>3</v>
      </c>
      <c r="C38" s="28">
        <f t="shared" si="7"/>
        <v>45995</v>
      </c>
      <c r="D38" s="28">
        <f t="shared" si="8"/>
        <v>45905</v>
      </c>
      <c r="E38" s="3" t="str">
        <f t="shared" ca="1" si="9"/>
        <v>OVERDUE</v>
      </c>
      <c r="F38" s="3">
        <f t="shared" ca="1" si="10"/>
        <v>-36</v>
      </c>
      <c r="G38" s="3" t="str">
        <f t="shared" si="11"/>
        <v>Active</v>
      </c>
      <c r="H38" s="28"/>
      <c r="I38" s="31">
        <v>45905</v>
      </c>
      <c r="J38" s="29"/>
      <c r="K38" s="29"/>
      <c r="L38" s="29"/>
      <c r="M38" s="29"/>
      <c r="N38" s="4"/>
      <c r="O38" s="4"/>
      <c r="P38" s="4"/>
      <c r="Q38" s="4"/>
      <c r="R38" s="4"/>
      <c r="S38" s="4"/>
      <c r="T38" s="4"/>
      <c r="AA38" s="4"/>
    </row>
    <row r="39" spans="1:27" ht="15" thickBot="1">
      <c r="A39" s="1" t="s">
        <v>115</v>
      </c>
      <c r="B39" s="3">
        <f t="shared" si="6"/>
        <v>2</v>
      </c>
      <c r="C39" s="28" t="str">
        <f t="shared" si="7"/>
        <v>No date</v>
      </c>
      <c r="D39" s="28" t="str">
        <f t="shared" si="8"/>
        <v>No Date</v>
      </c>
      <c r="E39" s="3" t="str">
        <f t="shared" ca="1" si="9"/>
        <v>UNSCHEDULED</v>
      </c>
      <c r="F39" s="3" t="str">
        <f t="shared" ca="1" si="10"/>
        <v>N/A</v>
      </c>
      <c r="G39" s="3" t="str">
        <f t="shared" si="11"/>
        <v>Active</v>
      </c>
      <c r="H39" s="30"/>
      <c r="I39" s="29"/>
      <c r="J39" s="29"/>
      <c r="K39" s="29"/>
      <c r="L39" s="29"/>
      <c r="M39" s="29"/>
      <c r="N39" s="4"/>
      <c r="O39" s="4"/>
      <c r="P39" s="4"/>
      <c r="Q39" s="4"/>
      <c r="R39" s="4"/>
      <c r="S39" s="4"/>
      <c r="T39" s="4"/>
      <c r="AA39" s="4"/>
    </row>
    <row r="40" spans="1:27" ht="15" thickBot="1">
      <c r="A40" s="1" t="s">
        <v>116</v>
      </c>
      <c r="B40" s="3">
        <f t="shared" si="6"/>
        <v>2</v>
      </c>
      <c r="C40" s="28" t="str">
        <f t="shared" si="7"/>
        <v>No date</v>
      </c>
      <c r="D40" s="28" t="str">
        <f t="shared" si="8"/>
        <v>No Date</v>
      </c>
      <c r="E40" s="3" t="str">
        <f t="shared" ca="1" si="9"/>
        <v>UNSCHEDULED</v>
      </c>
      <c r="F40" s="3" t="str">
        <f t="shared" ca="1" si="10"/>
        <v>N/A</v>
      </c>
      <c r="G40" s="3" t="str">
        <f t="shared" si="11"/>
        <v>Active</v>
      </c>
      <c r="H40" s="28"/>
      <c r="I40" s="31"/>
      <c r="J40" s="29"/>
      <c r="K40" s="29"/>
      <c r="L40" s="29"/>
      <c r="M40" s="29"/>
      <c r="N40" s="4"/>
      <c r="O40" s="4"/>
      <c r="P40" s="4"/>
      <c r="Q40" s="4"/>
      <c r="R40" s="4"/>
      <c r="S40" s="4"/>
      <c r="T40" s="4"/>
      <c r="AA40" s="4"/>
    </row>
    <row r="41" spans="1:27" ht="15" thickBot="1">
      <c r="A41" s="1" t="s">
        <v>117</v>
      </c>
      <c r="B41" s="3">
        <f t="shared" si="6"/>
        <v>2</v>
      </c>
      <c r="C41" s="28" t="str">
        <f t="shared" si="7"/>
        <v>No date</v>
      </c>
      <c r="D41" s="28" t="str">
        <f t="shared" si="8"/>
        <v>No Date</v>
      </c>
      <c r="E41" s="3" t="str">
        <f t="shared" ca="1" si="9"/>
        <v>UNSCHEDULED</v>
      </c>
      <c r="F41" s="3" t="str">
        <f t="shared" ca="1" si="10"/>
        <v>N/A</v>
      </c>
      <c r="G41" s="3" t="str">
        <f t="shared" si="11"/>
        <v>Active</v>
      </c>
      <c r="H41" s="28"/>
      <c r="I41" s="31"/>
      <c r="J41" s="29"/>
      <c r="K41" s="29"/>
      <c r="L41" s="29"/>
      <c r="M41" s="29"/>
      <c r="N41" s="4"/>
      <c r="O41" s="4"/>
      <c r="P41" s="4"/>
      <c r="Q41" s="4"/>
      <c r="R41" s="4"/>
      <c r="S41" s="4"/>
      <c r="T41" s="4"/>
      <c r="AA41" s="4"/>
    </row>
    <row r="42" spans="1:27" ht="15" thickBot="1">
      <c r="A42" s="1" t="s">
        <v>119</v>
      </c>
      <c r="B42" s="3">
        <f t="shared" si="6"/>
        <v>2</v>
      </c>
      <c r="C42" s="28" t="str">
        <f t="shared" si="7"/>
        <v>No date</v>
      </c>
      <c r="D42" s="28" t="str">
        <f t="shared" si="8"/>
        <v>No Date</v>
      </c>
      <c r="E42" s="3" t="str">
        <f t="shared" ca="1" si="9"/>
        <v>UNSCHEDULED</v>
      </c>
      <c r="F42" s="3" t="str">
        <f t="shared" ca="1" si="10"/>
        <v>N/A</v>
      </c>
      <c r="G42" s="3" t="str">
        <f t="shared" si="11"/>
        <v>Active</v>
      </c>
      <c r="H42" s="28"/>
      <c r="I42" s="31"/>
      <c r="J42" s="29"/>
      <c r="K42" s="29"/>
      <c r="L42" s="29"/>
      <c r="M42" s="29"/>
      <c r="N42" s="4"/>
      <c r="O42" s="4"/>
      <c r="P42" s="4"/>
      <c r="Q42" s="4"/>
      <c r="R42" s="4"/>
      <c r="S42" s="4"/>
      <c r="T42" s="4"/>
      <c r="AA42" s="4"/>
    </row>
    <row r="43" spans="1:27" ht="15" thickBot="1">
      <c r="A43" s="1" t="s">
        <v>120</v>
      </c>
      <c r="B43" s="3">
        <f t="shared" si="6"/>
        <v>2</v>
      </c>
      <c r="C43" s="28">
        <f t="shared" si="7"/>
        <v>46069</v>
      </c>
      <c r="D43" s="28">
        <f t="shared" si="8"/>
        <v>46009</v>
      </c>
      <c r="E43" s="3" t="str">
        <f t="shared" ca="1" si="9"/>
        <v>OK</v>
      </c>
      <c r="F43" s="3">
        <f t="shared" ca="1" si="10"/>
        <v>38</v>
      </c>
      <c r="G43" s="3" t="str">
        <f t="shared" si="11"/>
        <v>Active</v>
      </c>
      <c r="H43" s="28"/>
      <c r="I43" s="31">
        <v>46009</v>
      </c>
      <c r="J43" s="29"/>
      <c r="K43" s="29"/>
      <c r="L43" s="29"/>
      <c r="M43" s="29"/>
      <c r="N43" s="4"/>
      <c r="O43" s="4"/>
      <c r="P43" s="4"/>
      <c r="Q43" s="4"/>
      <c r="R43" s="4"/>
      <c r="S43" s="4"/>
      <c r="T43" s="4"/>
      <c r="AA43" s="4"/>
    </row>
    <row r="44" spans="1:27" ht="15" thickBot="1">
      <c r="A44" s="1" t="s">
        <v>121</v>
      </c>
      <c r="B44" s="3">
        <f t="shared" si="6"/>
        <v>2</v>
      </c>
      <c r="C44" s="28">
        <f t="shared" si="7"/>
        <v>46068</v>
      </c>
      <c r="D44" s="28">
        <f t="shared" si="8"/>
        <v>46008</v>
      </c>
      <c r="E44" s="3" t="str">
        <f t="shared" ca="1" si="9"/>
        <v>OK</v>
      </c>
      <c r="F44" s="3">
        <f t="shared" ca="1" si="10"/>
        <v>37</v>
      </c>
      <c r="G44" s="3" t="str">
        <f t="shared" si="11"/>
        <v>Active</v>
      </c>
      <c r="H44" s="28"/>
      <c r="I44" s="31">
        <v>45919</v>
      </c>
      <c r="J44" s="29">
        <v>46008</v>
      </c>
      <c r="K44" s="29"/>
      <c r="L44" s="29"/>
      <c r="M44" s="29"/>
      <c r="N44" s="4"/>
      <c r="O44" s="4"/>
      <c r="P44" s="4"/>
      <c r="Q44" s="4"/>
      <c r="R44" s="4"/>
      <c r="S44" s="4"/>
      <c r="T44" s="4"/>
      <c r="AA44" s="4"/>
    </row>
    <row r="45" spans="1:27" ht="15" thickBot="1">
      <c r="A45" s="1" t="s">
        <v>122</v>
      </c>
      <c r="B45" s="3">
        <f t="shared" si="6"/>
        <v>3</v>
      </c>
      <c r="C45" s="28" t="str">
        <f t="shared" si="7"/>
        <v>No date</v>
      </c>
      <c r="D45" s="28" t="str">
        <f t="shared" si="8"/>
        <v>No Date</v>
      </c>
      <c r="E45" s="3" t="str">
        <f t="shared" ca="1" si="9"/>
        <v>UNSCHEDULED</v>
      </c>
      <c r="F45" s="3" t="str">
        <f t="shared" ca="1" si="10"/>
        <v>N/A</v>
      </c>
      <c r="G45" s="3" t="str">
        <f t="shared" si="11"/>
        <v>Active</v>
      </c>
      <c r="H45" s="28"/>
      <c r="I45" s="31"/>
      <c r="J45" s="29"/>
      <c r="K45" s="29"/>
      <c r="L45" s="29"/>
      <c r="M45" s="29"/>
      <c r="N45" s="4"/>
      <c r="O45" s="4"/>
      <c r="P45" s="4"/>
      <c r="Q45" s="4"/>
      <c r="R45" s="4"/>
      <c r="S45" s="4"/>
      <c r="T45" s="4"/>
      <c r="AA45" s="4"/>
    </row>
    <row r="46" spans="1:27" ht="15" thickBot="1">
      <c r="A46" s="1" t="s">
        <v>124</v>
      </c>
      <c r="B46" s="3">
        <f t="shared" si="6"/>
        <v>2</v>
      </c>
      <c r="C46" s="28" t="str">
        <f t="shared" si="7"/>
        <v>No date</v>
      </c>
      <c r="D46" s="28" t="str">
        <f t="shared" si="8"/>
        <v>No Date</v>
      </c>
      <c r="E46" s="3" t="str">
        <f t="shared" ca="1" si="9"/>
        <v>UNSCHEDULED</v>
      </c>
      <c r="F46" s="3" t="str">
        <f t="shared" ca="1" si="10"/>
        <v>N/A</v>
      </c>
      <c r="G46" s="3" t="str">
        <f t="shared" si="11"/>
        <v>Active</v>
      </c>
      <c r="H46" s="28"/>
      <c r="I46" s="31"/>
      <c r="J46" s="29"/>
      <c r="K46" s="29"/>
      <c r="L46" s="29"/>
      <c r="M46" s="29"/>
      <c r="N46" s="4"/>
      <c r="O46" s="4"/>
      <c r="P46" s="4"/>
      <c r="Q46" s="4"/>
      <c r="R46" s="4"/>
      <c r="S46" s="4"/>
      <c r="T46" s="4"/>
      <c r="AA46" s="4"/>
    </row>
    <row r="47" spans="1:27" ht="15" thickBot="1">
      <c r="A47" s="1" t="s">
        <v>125</v>
      </c>
      <c r="B47" s="3">
        <f t="shared" si="6"/>
        <v>2</v>
      </c>
      <c r="C47" s="28" t="str">
        <f t="shared" si="7"/>
        <v>No date</v>
      </c>
      <c r="D47" s="28" t="str">
        <f t="shared" si="8"/>
        <v>No Date</v>
      </c>
      <c r="E47" s="3" t="str">
        <f t="shared" ca="1" si="9"/>
        <v>UNSCHEDULED</v>
      </c>
      <c r="F47" s="3" t="str">
        <f t="shared" ca="1" si="10"/>
        <v>N/A</v>
      </c>
      <c r="G47" s="3" t="str">
        <f t="shared" si="11"/>
        <v>Active</v>
      </c>
      <c r="H47" s="28"/>
      <c r="I47" s="31"/>
      <c r="J47" s="29"/>
      <c r="K47" s="29"/>
      <c r="L47" s="29"/>
      <c r="M47" s="29"/>
      <c r="N47" s="4"/>
      <c r="O47" s="4"/>
      <c r="P47" s="4"/>
      <c r="Q47" s="4"/>
      <c r="R47" s="4"/>
      <c r="S47" s="4"/>
      <c r="T47" s="4"/>
      <c r="AA47" s="4"/>
    </row>
    <row r="48" spans="1:27" ht="15" thickBot="1">
      <c r="A48" s="1" t="s">
        <v>126</v>
      </c>
      <c r="B48" s="3">
        <f t="shared" si="6"/>
        <v>2</v>
      </c>
      <c r="C48" s="28" t="str">
        <f t="shared" si="7"/>
        <v>No date</v>
      </c>
      <c r="D48" s="28" t="str">
        <f t="shared" si="8"/>
        <v>No Date</v>
      </c>
      <c r="E48" s="3" t="str">
        <f t="shared" ca="1" si="9"/>
        <v>UNSCHEDULED</v>
      </c>
      <c r="F48" s="3" t="str">
        <f t="shared" ca="1" si="10"/>
        <v>N/A</v>
      </c>
      <c r="G48" s="3" t="str">
        <f t="shared" si="11"/>
        <v>Active</v>
      </c>
      <c r="H48" s="28"/>
      <c r="I48" s="31"/>
      <c r="J48" s="29"/>
      <c r="K48" s="29"/>
      <c r="L48" s="29"/>
      <c r="M48" s="29"/>
      <c r="N48" s="4"/>
      <c r="O48" s="4"/>
      <c r="P48" s="4"/>
      <c r="Q48" s="4"/>
      <c r="R48" s="4"/>
      <c r="S48" s="4"/>
      <c r="T48" s="4"/>
      <c r="AA48" s="4"/>
    </row>
    <row r="49" spans="1:27" ht="15" thickBot="1">
      <c r="A49" s="1" t="s">
        <v>127</v>
      </c>
      <c r="B49" s="3">
        <f t="shared" si="6"/>
        <v>1</v>
      </c>
      <c r="C49" s="28" t="str">
        <f t="shared" si="7"/>
        <v>No date</v>
      </c>
      <c r="D49" s="28" t="str">
        <f t="shared" si="8"/>
        <v>No Date</v>
      </c>
      <c r="E49" s="3" t="str">
        <f t="shared" ca="1" si="9"/>
        <v>UNSCHEDULED</v>
      </c>
      <c r="F49" s="3" t="str">
        <f t="shared" ca="1" si="10"/>
        <v>N/A</v>
      </c>
      <c r="G49" s="3" t="str">
        <f t="shared" si="11"/>
        <v>Active</v>
      </c>
      <c r="H49" s="28"/>
      <c r="I49" s="31"/>
      <c r="J49" s="29"/>
      <c r="K49" s="29"/>
      <c r="L49" s="29"/>
      <c r="M49" s="29"/>
      <c r="N49" s="4"/>
      <c r="O49" s="4"/>
      <c r="P49" s="4"/>
      <c r="Q49" s="4"/>
      <c r="R49" s="4"/>
      <c r="S49" s="4"/>
      <c r="T49" s="4"/>
      <c r="AA49" s="4"/>
    </row>
    <row r="50" spans="1:27" ht="15" thickBot="1">
      <c r="A50" s="1" t="s">
        <v>128</v>
      </c>
      <c r="B50" s="3">
        <f t="shared" si="6"/>
        <v>2</v>
      </c>
      <c r="C50" s="28" t="str">
        <f t="shared" si="7"/>
        <v>No date</v>
      </c>
      <c r="D50" s="28" t="str">
        <f t="shared" si="8"/>
        <v>No Date</v>
      </c>
      <c r="E50" s="3" t="str">
        <f t="shared" ca="1" si="9"/>
        <v>UNSCHEDULED</v>
      </c>
      <c r="F50" s="3" t="str">
        <f t="shared" ca="1" si="10"/>
        <v>N/A</v>
      </c>
      <c r="G50" s="3" t="str">
        <f t="shared" si="11"/>
        <v>Active</v>
      </c>
      <c r="H50" s="28"/>
      <c r="I50" s="31"/>
      <c r="J50" s="29"/>
      <c r="K50" s="29"/>
      <c r="L50" s="29"/>
      <c r="M50" s="29"/>
      <c r="N50" s="4"/>
      <c r="O50" s="4"/>
      <c r="P50" s="4"/>
      <c r="Q50" s="4"/>
      <c r="R50" s="4"/>
      <c r="S50" s="4"/>
      <c r="T50" s="4"/>
      <c r="AA50" s="4"/>
    </row>
    <row r="51" spans="1:27" ht="15" thickBot="1">
      <c r="A51" s="1" t="s">
        <v>129</v>
      </c>
      <c r="B51" s="3">
        <f t="shared" si="6"/>
        <v>2</v>
      </c>
      <c r="C51" s="28" t="str">
        <f t="shared" si="7"/>
        <v>No date</v>
      </c>
      <c r="D51" s="28" t="str">
        <f t="shared" si="8"/>
        <v>No Date</v>
      </c>
      <c r="E51" s="3" t="str">
        <f t="shared" ca="1" si="9"/>
        <v>UNSCHEDULED</v>
      </c>
      <c r="F51" s="3" t="str">
        <f t="shared" ca="1" si="10"/>
        <v>N/A</v>
      </c>
      <c r="G51" s="3" t="str">
        <f t="shared" si="11"/>
        <v>Active</v>
      </c>
      <c r="H51" s="30"/>
      <c r="I51" s="29"/>
      <c r="J51" s="29"/>
      <c r="K51" s="29"/>
      <c r="L51" s="29"/>
      <c r="M51" s="29"/>
      <c r="N51" s="4"/>
      <c r="O51" s="4"/>
      <c r="P51" s="4"/>
      <c r="Q51" s="4"/>
      <c r="R51" s="4"/>
      <c r="S51" s="4"/>
      <c r="T51" s="4"/>
      <c r="AA51" s="4"/>
    </row>
    <row r="52" spans="1:27" ht="15" thickBot="1">
      <c r="A52" s="1" t="s">
        <v>130</v>
      </c>
      <c r="B52" s="3">
        <f t="shared" si="6"/>
        <v>2</v>
      </c>
      <c r="C52" s="28" t="str">
        <f t="shared" si="7"/>
        <v>No date</v>
      </c>
      <c r="D52" s="30" t="str">
        <f t="shared" si="8"/>
        <v>No Date</v>
      </c>
      <c r="E52" s="3" t="str">
        <f t="shared" ca="1" si="9"/>
        <v>UNSCHEDULED</v>
      </c>
      <c r="F52" s="3" t="str">
        <f t="shared" ca="1" si="10"/>
        <v>N/A</v>
      </c>
      <c r="G52" s="3" t="str">
        <f t="shared" si="11"/>
        <v>Active</v>
      </c>
      <c r="H52" s="30"/>
      <c r="I52" s="29"/>
      <c r="J52" s="29"/>
      <c r="K52" s="29"/>
      <c r="L52" s="29"/>
      <c r="M52" s="29"/>
      <c r="N52" s="4"/>
      <c r="O52" s="4"/>
      <c r="P52" s="4"/>
      <c r="Q52" s="4"/>
      <c r="R52" s="4"/>
      <c r="S52" s="4"/>
      <c r="T52" s="4"/>
      <c r="AA52" s="4"/>
    </row>
    <row r="53" spans="1:27" ht="15" thickBot="1">
      <c r="A53" s="1" t="s">
        <v>131</v>
      </c>
      <c r="B53" s="3">
        <f t="shared" si="6"/>
        <v>2</v>
      </c>
      <c r="C53" s="28" t="str">
        <f t="shared" si="7"/>
        <v>No date</v>
      </c>
      <c r="D53" s="28" t="str">
        <f t="shared" si="8"/>
        <v>No Date</v>
      </c>
      <c r="E53" s="3" t="str">
        <f t="shared" ca="1" si="9"/>
        <v>UNSCHEDULED</v>
      </c>
      <c r="F53" s="3" t="str">
        <f t="shared" ca="1" si="10"/>
        <v>N/A</v>
      </c>
      <c r="G53" s="3" t="str">
        <f t="shared" si="11"/>
        <v>Active</v>
      </c>
      <c r="H53" s="28"/>
      <c r="I53" s="31"/>
      <c r="J53" s="29"/>
      <c r="K53" s="29"/>
      <c r="L53" s="29"/>
      <c r="M53" s="29"/>
      <c r="N53" s="4"/>
      <c r="O53" s="4"/>
      <c r="P53" s="4"/>
      <c r="Q53" s="4"/>
      <c r="R53" s="4"/>
      <c r="S53" s="4"/>
      <c r="T53" s="4"/>
      <c r="AA53" s="4"/>
    </row>
    <row r="54" spans="1:27" ht="15" thickBot="1">
      <c r="A54" s="1" t="s">
        <v>132</v>
      </c>
      <c r="B54" s="3">
        <f t="shared" si="6"/>
        <v>2</v>
      </c>
      <c r="C54" s="28" t="str">
        <f t="shared" si="7"/>
        <v>No date</v>
      </c>
      <c r="D54" s="28" t="str">
        <f t="shared" si="8"/>
        <v>No Date</v>
      </c>
      <c r="E54" s="3" t="str">
        <f t="shared" ca="1" si="9"/>
        <v>UNSCHEDULED</v>
      </c>
      <c r="F54" s="3" t="str">
        <f t="shared" ca="1" si="10"/>
        <v>N/A</v>
      </c>
      <c r="G54" s="3" t="str">
        <f t="shared" si="11"/>
        <v>Active</v>
      </c>
      <c r="H54" s="28"/>
      <c r="I54" s="31"/>
      <c r="J54" s="29"/>
      <c r="K54" s="29"/>
      <c r="L54" s="29"/>
      <c r="M54" s="29"/>
      <c r="N54" s="4"/>
      <c r="O54" s="4"/>
      <c r="P54" s="4"/>
      <c r="Q54" s="4"/>
      <c r="R54" s="4"/>
      <c r="S54" s="4"/>
      <c r="T54" s="4"/>
      <c r="AA54" s="4"/>
    </row>
    <row r="55" spans="1:27" ht="15" thickBot="1">
      <c r="A55" s="1" t="s">
        <v>133</v>
      </c>
      <c r="B55" s="3">
        <f t="shared" si="6"/>
        <v>2</v>
      </c>
      <c r="C55" s="28" t="str">
        <f t="shared" si="7"/>
        <v>No date</v>
      </c>
      <c r="D55" s="28" t="str">
        <f t="shared" si="8"/>
        <v>No Date</v>
      </c>
      <c r="E55" s="3" t="str">
        <f t="shared" ca="1" si="9"/>
        <v>UNSCHEDULED</v>
      </c>
      <c r="F55" s="3" t="str">
        <f t="shared" ca="1" si="10"/>
        <v>N/A</v>
      </c>
      <c r="G55" s="3" t="str">
        <f t="shared" si="11"/>
        <v>Active</v>
      </c>
      <c r="H55" s="28"/>
      <c r="I55" s="31"/>
      <c r="J55" s="29"/>
      <c r="K55" s="29"/>
      <c r="L55" s="29"/>
      <c r="M55" s="29"/>
      <c r="N55" s="4"/>
      <c r="O55" s="4"/>
      <c r="P55" s="4"/>
      <c r="Q55" s="4"/>
      <c r="R55" s="4"/>
      <c r="S55" s="4"/>
      <c r="T55" s="4"/>
      <c r="AA55" s="4"/>
    </row>
    <row r="56" spans="1:27" ht="15" thickBot="1">
      <c r="A56" s="1" t="s">
        <v>134</v>
      </c>
      <c r="B56" s="3">
        <f t="shared" si="6"/>
        <v>2</v>
      </c>
      <c r="C56" s="28" t="str">
        <f t="shared" si="7"/>
        <v>No date</v>
      </c>
      <c r="D56" s="28" t="str">
        <f t="shared" si="8"/>
        <v>No Date</v>
      </c>
      <c r="E56" s="3" t="str">
        <f t="shared" ca="1" si="9"/>
        <v>UNSCHEDULED</v>
      </c>
      <c r="F56" s="3" t="str">
        <f t="shared" ca="1" si="10"/>
        <v>N/A</v>
      </c>
      <c r="G56" s="3" t="str">
        <f t="shared" si="11"/>
        <v>Active</v>
      </c>
      <c r="H56" s="28"/>
      <c r="I56" s="31"/>
      <c r="J56" s="29"/>
      <c r="K56" s="29"/>
      <c r="L56" s="29"/>
      <c r="M56" s="29"/>
      <c r="N56" s="4"/>
      <c r="O56" s="4"/>
      <c r="P56" s="4"/>
      <c r="Q56" s="4"/>
      <c r="R56" s="4"/>
      <c r="S56" s="4"/>
      <c r="T56" s="4"/>
      <c r="AA56" s="4"/>
    </row>
    <row r="57" spans="1:27" ht="15" thickBot="1">
      <c r="A57" s="1" t="s">
        <v>136</v>
      </c>
      <c r="B57" s="3">
        <f t="shared" si="6"/>
        <v>3</v>
      </c>
      <c r="C57" s="28" t="str">
        <f t="shared" si="7"/>
        <v>No date</v>
      </c>
      <c r="D57" s="28" t="str">
        <f t="shared" si="8"/>
        <v>No Date</v>
      </c>
      <c r="E57" s="3" t="str">
        <f t="shared" ca="1" si="9"/>
        <v>UNSCHEDULED</v>
      </c>
      <c r="F57" s="3" t="str">
        <f t="shared" ca="1" si="10"/>
        <v>N/A</v>
      </c>
      <c r="G57" s="3" t="str">
        <f t="shared" si="11"/>
        <v>Active</v>
      </c>
      <c r="H57" s="28"/>
      <c r="I57" s="31"/>
      <c r="J57" s="29"/>
      <c r="K57" s="29"/>
      <c r="L57" s="29"/>
      <c r="M57" s="29"/>
      <c r="N57" s="4"/>
      <c r="O57" s="4"/>
      <c r="P57" s="4"/>
      <c r="Q57" s="4"/>
      <c r="R57" s="4"/>
      <c r="S57" s="4"/>
      <c r="T57" s="4"/>
      <c r="AA57" s="4"/>
    </row>
    <row r="58" spans="1:27" ht="15" thickBot="1">
      <c r="A58" s="1" t="s">
        <v>138</v>
      </c>
      <c r="B58" s="3">
        <f t="shared" si="6"/>
        <v>2</v>
      </c>
      <c r="C58" s="28" t="str">
        <f t="shared" si="7"/>
        <v>No date</v>
      </c>
      <c r="D58" s="28" t="str">
        <f t="shared" si="8"/>
        <v>No Date</v>
      </c>
      <c r="E58" s="3" t="str">
        <f t="shared" ca="1" si="9"/>
        <v>UNSCHEDULED</v>
      </c>
      <c r="F58" s="3" t="str">
        <f t="shared" ca="1" si="10"/>
        <v>N/A</v>
      </c>
      <c r="G58" s="3" t="str">
        <f t="shared" si="11"/>
        <v>Active</v>
      </c>
      <c r="H58" s="28"/>
      <c r="I58" s="31"/>
      <c r="J58" s="29"/>
      <c r="K58" s="29"/>
      <c r="L58" s="29"/>
      <c r="M58" s="29"/>
      <c r="N58" s="4"/>
      <c r="O58" s="4"/>
      <c r="P58" s="4"/>
      <c r="Q58" s="4"/>
      <c r="R58" s="4"/>
      <c r="S58" s="4"/>
      <c r="T58" s="4"/>
      <c r="AA58" s="4"/>
    </row>
    <row r="59" spans="1:27" ht="15" thickBot="1">
      <c r="A59" s="1" t="s">
        <v>139</v>
      </c>
      <c r="B59" s="3">
        <f t="shared" si="6"/>
        <v>2</v>
      </c>
      <c r="C59" s="28" t="str">
        <f t="shared" si="7"/>
        <v>No date</v>
      </c>
      <c r="D59" s="28" t="str">
        <f t="shared" si="8"/>
        <v>No Date</v>
      </c>
      <c r="E59" s="3" t="str">
        <f t="shared" ca="1" si="9"/>
        <v>UNSCHEDULED</v>
      </c>
      <c r="F59" s="3" t="str">
        <f t="shared" ca="1" si="10"/>
        <v>N/A</v>
      </c>
      <c r="G59" s="3" t="str">
        <f t="shared" si="11"/>
        <v>Active</v>
      </c>
      <c r="H59" s="28"/>
      <c r="I59" s="31"/>
      <c r="J59" s="29"/>
      <c r="K59" s="29"/>
      <c r="L59" s="29"/>
      <c r="M59" s="29"/>
      <c r="N59" s="4"/>
      <c r="O59" s="4"/>
      <c r="P59" s="4"/>
      <c r="Q59" s="4"/>
      <c r="R59" s="4"/>
      <c r="S59" s="4"/>
      <c r="T59" s="4"/>
      <c r="AA59" s="4"/>
    </row>
    <row r="60" spans="1:27" ht="15" thickBot="1">
      <c r="A60" s="1" t="s">
        <v>140</v>
      </c>
      <c r="B60" s="3">
        <f t="shared" si="6"/>
        <v>2</v>
      </c>
      <c r="C60" s="28">
        <f t="shared" si="7"/>
        <v>46089</v>
      </c>
      <c r="D60" s="28">
        <f t="shared" si="8"/>
        <v>46029</v>
      </c>
      <c r="E60" s="3" t="str">
        <f t="shared" ca="1" si="9"/>
        <v>OK</v>
      </c>
      <c r="F60" s="3">
        <f t="shared" ca="1" si="10"/>
        <v>58</v>
      </c>
      <c r="G60" s="3" t="str">
        <f t="shared" si="11"/>
        <v>Active</v>
      </c>
      <c r="H60" s="28"/>
      <c r="I60" s="31">
        <v>46029</v>
      </c>
      <c r="J60" s="29"/>
      <c r="K60" s="29"/>
      <c r="L60" s="29"/>
      <c r="M60" s="29"/>
      <c r="N60" s="4"/>
      <c r="O60" s="4"/>
      <c r="P60" s="4"/>
      <c r="Q60" s="4"/>
      <c r="R60" s="4"/>
      <c r="S60" s="4"/>
      <c r="T60" s="4"/>
      <c r="AA60" s="4"/>
    </row>
    <row r="61" spans="1:27" ht="15" thickBot="1">
      <c r="A61" s="1" t="s">
        <v>142</v>
      </c>
      <c r="B61" s="3">
        <f t="shared" si="6"/>
        <v>1</v>
      </c>
      <c r="C61" s="28">
        <f t="shared" si="7"/>
        <v>46011</v>
      </c>
      <c r="D61" s="28">
        <f t="shared" si="8"/>
        <v>45981</v>
      </c>
      <c r="E61" s="3" t="str">
        <f t="shared" ca="1" si="9"/>
        <v>OVERDUE</v>
      </c>
      <c r="F61" s="3">
        <f t="shared" ca="1" si="10"/>
        <v>-20</v>
      </c>
      <c r="G61" s="3" t="str">
        <f t="shared" si="11"/>
        <v>Active</v>
      </c>
      <c r="H61" s="28"/>
      <c r="I61" s="31">
        <v>45981</v>
      </c>
      <c r="J61" s="29"/>
      <c r="K61" s="29"/>
      <c r="L61" s="29"/>
      <c r="M61" s="29"/>
      <c r="N61" s="4"/>
      <c r="O61" s="4"/>
      <c r="P61" s="4"/>
      <c r="Q61" s="4"/>
      <c r="R61" s="4"/>
      <c r="S61" s="4"/>
      <c r="T61" s="4"/>
      <c r="AA61" s="4"/>
    </row>
    <row r="62" spans="1:27" ht="15" thickBot="1">
      <c r="A62" s="1" t="s">
        <v>145</v>
      </c>
      <c r="B62" s="3">
        <f t="shared" si="6"/>
        <v>3</v>
      </c>
      <c r="C62" s="28">
        <f t="shared" si="7"/>
        <v>46065</v>
      </c>
      <c r="D62" s="28">
        <f t="shared" si="8"/>
        <v>45975</v>
      </c>
      <c r="E62" s="3" t="str">
        <f t="shared" ca="1" si="9"/>
        <v>OK</v>
      </c>
      <c r="F62" s="3">
        <f t="shared" ca="1" si="10"/>
        <v>34</v>
      </c>
      <c r="G62" s="3" t="str">
        <f t="shared" si="11"/>
        <v>Active</v>
      </c>
      <c r="H62" s="28"/>
      <c r="I62" s="31">
        <v>45912</v>
      </c>
      <c r="J62" s="29">
        <v>45975</v>
      </c>
      <c r="K62" s="29"/>
      <c r="L62" s="29"/>
      <c r="M62" s="29"/>
      <c r="N62" s="4"/>
      <c r="O62" s="4"/>
      <c r="P62" s="4"/>
      <c r="Q62" s="4"/>
      <c r="R62" s="4"/>
      <c r="S62" s="4"/>
      <c r="T62" s="4"/>
      <c r="AA62" s="4"/>
    </row>
    <row r="63" spans="1:27" ht="15" thickBot="1">
      <c r="A63" s="1" t="s">
        <v>147</v>
      </c>
      <c r="B63" s="3">
        <f t="shared" si="6"/>
        <v>1</v>
      </c>
      <c r="C63" s="28">
        <f t="shared" si="7"/>
        <v>46011</v>
      </c>
      <c r="D63" s="28">
        <f t="shared" si="8"/>
        <v>45981</v>
      </c>
      <c r="E63" s="3" t="str">
        <f t="shared" ca="1" si="9"/>
        <v>OVERDUE</v>
      </c>
      <c r="F63" s="3">
        <f t="shared" ca="1" si="10"/>
        <v>-20</v>
      </c>
      <c r="G63" s="3" t="str">
        <f t="shared" si="11"/>
        <v>Active</v>
      </c>
      <c r="H63" s="28"/>
      <c r="I63" s="31">
        <v>45981</v>
      </c>
      <c r="J63" s="29"/>
      <c r="K63" s="29"/>
      <c r="L63" s="29"/>
      <c r="M63" s="29"/>
      <c r="N63" s="4"/>
      <c r="O63" s="4"/>
      <c r="P63" s="4"/>
      <c r="Q63" s="4"/>
      <c r="R63" s="4"/>
      <c r="S63" s="4"/>
      <c r="T63" s="4"/>
      <c r="AA63" s="4"/>
    </row>
    <row r="64" spans="1:27" ht="15" thickBot="1">
      <c r="A64" s="1" t="s">
        <v>149</v>
      </c>
      <c r="B64" s="3">
        <f t="shared" si="6"/>
        <v>3</v>
      </c>
      <c r="C64" s="28">
        <f t="shared" si="7"/>
        <v>46065</v>
      </c>
      <c r="D64" s="28">
        <f t="shared" si="8"/>
        <v>45975</v>
      </c>
      <c r="E64" s="3" t="str">
        <f t="shared" ca="1" si="9"/>
        <v>OK</v>
      </c>
      <c r="F64" s="3">
        <f t="shared" ca="1" si="10"/>
        <v>34</v>
      </c>
      <c r="G64" s="3" t="str">
        <f t="shared" si="11"/>
        <v>Active</v>
      </c>
      <c r="H64" s="28"/>
      <c r="I64" s="31">
        <v>45912</v>
      </c>
      <c r="J64" s="29">
        <v>45975</v>
      </c>
      <c r="K64" s="29"/>
      <c r="L64" s="29"/>
      <c r="M64" s="29"/>
      <c r="N64" s="4"/>
      <c r="O64" s="4"/>
      <c r="P64" s="4"/>
      <c r="Q64" s="4"/>
      <c r="R64" s="4"/>
      <c r="S64" s="4"/>
      <c r="T64" s="4"/>
      <c r="AA64" s="4"/>
    </row>
    <row r="65" spans="1:27" ht="15" thickBot="1">
      <c r="A65" s="1" t="s">
        <v>151</v>
      </c>
      <c r="B65" s="3">
        <f t="shared" si="6"/>
        <v>1</v>
      </c>
      <c r="C65" s="28">
        <f t="shared" si="7"/>
        <v>46011</v>
      </c>
      <c r="D65" s="28">
        <f t="shared" si="8"/>
        <v>45981</v>
      </c>
      <c r="E65" s="3" t="str">
        <f t="shared" ca="1" si="9"/>
        <v>OVERDUE</v>
      </c>
      <c r="F65" s="3">
        <f t="shared" ca="1" si="10"/>
        <v>-20</v>
      </c>
      <c r="G65" s="3" t="str">
        <f t="shared" si="11"/>
        <v>Active</v>
      </c>
      <c r="H65" s="28"/>
      <c r="I65" s="31">
        <v>45981</v>
      </c>
      <c r="J65" s="29"/>
      <c r="K65" s="29"/>
      <c r="L65" s="29"/>
      <c r="M65" s="29"/>
      <c r="N65" s="4"/>
      <c r="O65" s="4"/>
      <c r="P65" s="4"/>
      <c r="Q65" s="4"/>
      <c r="R65" s="4"/>
      <c r="S65" s="4"/>
      <c r="T65" s="4"/>
      <c r="AA65" s="4"/>
    </row>
    <row r="66" spans="1:27" ht="15" thickBot="1">
      <c r="A66" s="1" t="s">
        <v>154</v>
      </c>
      <c r="B66" s="3">
        <f t="shared" ref="B66:B85" si="12">IFERROR(VLOOKUP(A66,MasterServerData,3,FALSE),"")</f>
        <v>1</v>
      </c>
      <c r="C66" s="28">
        <f t="shared" ref="C66:C85" si="13">IFERROR(IF(OR(B66="",NOT(ISNUMBER(B66)),NOT(ISNUMBER(D66))),"No date",D66+VLOOKUP(B66,PriorityTable,2,FALSE)),"No date")</f>
        <v>46011</v>
      </c>
      <c r="D66" s="28">
        <f t="shared" ref="D66:D85" si="14">IF(COUNT(I66:ZY66)=0,"No Date",MAX(I66:ZY66))</f>
        <v>45981</v>
      </c>
      <c r="E66" s="3" t="str">
        <f t="shared" ref="E66:E85" ca="1" si="15">IFERROR(IF(OR(B66="",C66="No date"),"UNSCHEDULED",IF(C66&lt;TODAY(),"OVERDUE","OK")),"UNSCHEDULED")</f>
        <v>OVERDUE</v>
      </c>
      <c r="F66" s="3">
        <f t="shared" ref="F66:F85" ca="1" si="16">IF(AND(ISNUMBER(C66),C66&lt;&gt;0),C66-TODAY(),"N/A")</f>
        <v>-20</v>
      </c>
      <c r="G66" s="3" t="str">
        <f t="shared" ref="G66:G85" si="17">IFERROR(VLOOKUP(A66,MasterStatusData,4,FALSE),"")</f>
        <v>Active</v>
      </c>
      <c r="H66" s="28"/>
      <c r="I66" s="31">
        <v>45981</v>
      </c>
      <c r="J66" s="29"/>
      <c r="K66" s="29"/>
      <c r="L66" s="29"/>
      <c r="M66" s="29"/>
      <c r="N66" s="4"/>
      <c r="O66" s="4"/>
      <c r="P66" s="4"/>
      <c r="Q66" s="4"/>
      <c r="R66" s="4"/>
      <c r="S66" s="4"/>
      <c r="T66" s="4"/>
      <c r="AA66" s="4"/>
    </row>
    <row r="67" spans="1:27" ht="15" thickBot="1">
      <c r="A67" s="1" t="s">
        <v>156</v>
      </c>
      <c r="B67" s="3">
        <f t="shared" si="12"/>
        <v>2</v>
      </c>
      <c r="C67" s="28">
        <f t="shared" si="13"/>
        <v>45970</v>
      </c>
      <c r="D67" s="28">
        <f t="shared" si="14"/>
        <v>45910</v>
      </c>
      <c r="E67" s="3" t="str">
        <f t="shared" ca="1" si="15"/>
        <v>OVERDUE</v>
      </c>
      <c r="F67" s="3">
        <f t="shared" ca="1" si="16"/>
        <v>-61</v>
      </c>
      <c r="G67" s="3" t="str">
        <f t="shared" si="17"/>
        <v>Active</v>
      </c>
      <c r="H67" s="28"/>
      <c r="I67" s="31">
        <v>45910</v>
      </c>
      <c r="J67" s="29"/>
      <c r="K67" s="29"/>
      <c r="L67" s="29"/>
      <c r="M67" s="29"/>
      <c r="N67" s="4"/>
      <c r="O67" s="4"/>
      <c r="P67" s="4"/>
      <c r="Q67" s="4"/>
      <c r="R67" s="4"/>
      <c r="S67" s="4"/>
      <c r="T67" s="4"/>
      <c r="AA67" s="4"/>
    </row>
    <row r="68" spans="1:27" ht="15" thickBot="1">
      <c r="A68" s="1" t="s">
        <v>158</v>
      </c>
      <c r="B68" s="3">
        <f t="shared" si="12"/>
        <v>2</v>
      </c>
      <c r="C68" s="28">
        <f t="shared" si="13"/>
        <v>45970</v>
      </c>
      <c r="D68" s="28">
        <f t="shared" si="14"/>
        <v>45910</v>
      </c>
      <c r="E68" s="3" t="str">
        <f t="shared" ca="1" si="15"/>
        <v>OVERDUE</v>
      </c>
      <c r="F68" s="3">
        <f t="shared" ca="1" si="16"/>
        <v>-61</v>
      </c>
      <c r="G68" s="3" t="str">
        <f t="shared" si="17"/>
        <v>Active</v>
      </c>
      <c r="H68" s="28"/>
      <c r="I68" s="31">
        <v>45910</v>
      </c>
      <c r="J68" s="29"/>
      <c r="K68" s="29"/>
      <c r="L68" s="29"/>
      <c r="M68" s="29"/>
      <c r="N68" s="4"/>
      <c r="O68" s="4"/>
      <c r="P68" s="4"/>
      <c r="Q68" s="4"/>
      <c r="R68" s="4"/>
      <c r="S68" s="4"/>
      <c r="T68" s="4"/>
      <c r="AA68" s="4"/>
    </row>
    <row r="69" spans="1:27" ht="15" thickBot="1">
      <c r="A69" s="1" t="s">
        <v>159</v>
      </c>
      <c r="B69" s="3">
        <f t="shared" si="12"/>
        <v>2</v>
      </c>
      <c r="C69" s="28">
        <f t="shared" si="13"/>
        <v>45970</v>
      </c>
      <c r="D69" s="28">
        <f t="shared" si="14"/>
        <v>45910</v>
      </c>
      <c r="E69" s="3" t="str">
        <f t="shared" ca="1" si="15"/>
        <v>OVERDUE</v>
      </c>
      <c r="F69" s="3">
        <f t="shared" ca="1" si="16"/>
        <v>-61</v>
      </c>
      <c r="G69" s="3" t="str">
        <f t="shared" si="17"/>
        <v>Active</v>
      </c>
      <c r="H69" s="28"/>
      <c r="I69" s="31">
        <v>45910</v>
      </c>
      <c r="J69" s="29"/>
      <c r="K69" s="29"/>
      <c r="L69" s="29"/>
      <c r="M69" s="29"/>
      <c r="N69" s="4"/>
      <c r="O69" s="4"/>
      <c r="P69" s="4"/>
      <c r="Q69" s="4"/>
      <c r="R69" s="4"/>
      <c r="S69" s="4"/>
      <c r="T69" s="4"/>
      <c r="AA69" s="4"/>
    </row>
    <row r="70" spans="1:27" ht="15" thickBot="1">
      <c r="A70" s="1" t="s">
        <v>160</v>
      </c>
      <c r="B70" s="3">
        <f t="shared" si="12"/>
        <v>2</v>
      </c>
      <c r="C70" s="28">
        <f t="shared" si="13"/>
        <v>45969</v>
      </c>
      <c r="D70" s="28">
        <f t="shared" si="14"/>
        <v>45909</v>
      </c>
      <c r="E70" s="3" t="str">
        <f t="shared" ca="1" si="15"/>
        <v>OVERDUE</v>
      </c>
      <c r="F70" s="3">
        <f t="shared" ca="1" si="16"/>
        <v>-62</v>
      </c>
      <c r="G70" s="3" t="str">
        <f t="shared" si="17"/>
        <v>Active</v>
      </c>
      <c r="H70" s="28"/>
      <c r="I70" s="31">
        <v>45909</v>
      </c>
      <c r="J70" s="29"/>
      <c r="K70" s="29"/>
      <c r="L70" s="29"/>
      <c r="M70" s="29"/>
      <c r="N70" s="4"/>
      <c r="O70" s="4"/>
      <c r="P70" s="4"/>
      <c r="Q70" s="4"/>
      <c r="R70" s="4"/>
      <c r="S70" s="4"/>
      <c r="T70" s="4"/>
      <c r="AA70" s="4"/>
    </row>
    <row r="71" spans="1:27" ht="15" thickBot="1">
      <c r="A71" s="1" t="s">
        <v>162</v>
      </c>
      <c r="B71" s="3">
        <f t="shared" si="12"/>
        <v>2</v>
      </c>
      <c r="C71" s="28">
        <f t="shared" si="13"/>
        <v>45970</v>
      </c>
      <c r="D71" s="28">
        <f t="shared" si="14"/>
        <v>45910</v>
      </c>
      <c r="E71" s="3" t="str">
        <f t="shared" ca="1" si="15"/>
        <v>OVERDUE</v>
      </c>
      <c r="F71" s="3">
        <f t="shared" ca="1" si="16"/>
        <v>-61</v>
      </c>
      <c r="G71" s="3" t="str">
        <f t="shared" si="17"/>
        <v>Active</v>
      </c>
      <c r="H71" s="28"/>
      <c r="I71" s="31">
        <v>45910</v>
      </c>
      <c r="J71" s="29"/>
      <c r="K71" s="29"/>
      <c r="L71" s="29"/>
      <c r="M71" s="29"/>
      <c r="N71" s="4"/>
      <c r="O71" s="4"/>
      <c r="P71" s="4"/>
      <c r="Q71" s="4"/>
      <c r="R71" s="4"/>
      <c r="S71" s="4"/>
      <c r="T71" s="4"/>
      <c r="AA71" s="4"/>
    </row>
    <row r="72" spans="1:27" ht="15" thickBot="1">
      <c r="A72" s="1" t="s">
        <v>163</v>
      </c>
      <c r="B72" s="3">
        <f t="shared" si="12"/>
        <v>2</v>
      </c>
      <c r="C72" s="28">
        <f t="shared" si="13"/>
        <v>45970</v>
      </c>
      <c r="D72" s="28">
        <f t="shared" si="14"/>
        <v>45910</v>
      </c>
      <c r="E72" s="3" t="str">
        <f t="shared" ca="1" si="15"/>
        <v>OVERDUE</v>
      </c>
      <c r="F72" s="3">
        <f t="shared" ca="1" si="16"/>
        <v>-61</v>
      </c>
      <c r="G72" s="3" t="str">
        <f t="shared" si="17"/>
        <v>Active</v>
      </c>
      <c r="H72" s="28"/>
      <c r="I72" s="31">
        <v>45910</v>
      </c>
      <c r="J72" s="29"/>
      <c r="K72" s="29"/>
      <c r="L72" s="29"/>
      <c r="M72" s="29"/>
      <c r="N72" s="4"/>
      <c r="O72" s="4"/>
      <c r="P72" s="4"/>
      <c r="Q72" s="4"/>
      <c r="R72" s="4"/>
      <c r="S72" s="4"/>
      <c r="T72" s="4"/>
      <c r="AA72" s="4"/>
    </row>
    <row r="73" spans="1:27" ht="15" thickBot="1">
      <c r="A73" s="1" t="s">
        <v>164</v>
      </c>
      <c r="B73" s="3">
        <f t="shared" si="12"/>
        <v>2</v>
      </c>
      <c r="C73" s="28">
        <f t="shared" si="13"/>
        <v>45970</v>
      </c>
      <c r="D73" s="28">
        <f t="shared" si="14"/>
        <v>45910</v>
      </c>
      <c r="E73" s="3" t="str">
        <f t="shared" ca="1" si="15"/>
        <v>OVERDUE</v>
      </c>
      <c r="F73" s="3">
        <f t="shared" ca="1" si="16"/>
        <v>-61</v>
      </c>
      <c r="G73" s="3" t="str">
        <f t="shared" si="17"/>
        <v>Active</v>
      </c>
      <c r="H73" s="28"/>
      <c r="I73" s="31">
        <v>45910</v>
      </c>
      <c r="J73" s="29"/>
      <c r="K73" s="29"/>
      <c r="L73" s="29"/>
      <c r="M73" s="29"/>
      <c r="N73" s="4"/>
      <c r="O73" s="4"/>
      <c r="P73" s="4"/>
      <c r="Q73" s="4"/>
      <c r="R73" s="4"/>
      <c r="S73" s="4"/>
      <c r="T73" s="4"/>
      <c r="AA73" s="4"/>
    </row>
    <row r="74" spans="1:27" ht="15" thickBot="1">
      <c r="A74" s="1" t="s">
        <v>165</v>
      </c>
      <c r="B74" s="3">
        <f t="shared" si="12"/>
        <v>2</v>
      </c>
      <c r="C74" s="28">
        <f t="shared" si="13"/>
        <v>46083</v>
      </c>
      <c r="D74" s="28">
        <f t="shared" si="14"/>
        <v>46023</v>
      </c>
      <c r="E74" s="3" t="str">
        <f t="shared" ca="1" si="15"/>
        <v>OK</v>
      </c>
      <c r="F74" s="3">
        <f t="shared" ca="1" si="16"/>
        <v>52</v>
      </c>
      <c r="G74" s="3" t="str">
        <f t="shared" si="17"/>
        <v>Active</v>
      </c>
      <c r="H74" s="28"/>
      <c r="I74" s="31">
        <v>45910</v>
      </c>
      <c r="J74" s="29">
        <v>46023</v>
      </c>
      <c r="K74" s="29"/>
      <c r="L74" s="29"/>
      <c r="M74" s="29"/>
      <c r="N74" s="4"/>
      <c r="O74" s="4"/>
      <c r="P74" s="4"/>
      <c r="Q74" s="4"/>
      <c r="R74" s="4"/>
      <c r="S74" s="4"/>
      <c r="T74" s="4"/>
      <c r="AA74" s="4"/>
    </row>
    <row r="75" spans="1:27" ht="15" thickBot="1">
      <c r="A75" s="1" t="s">
        <v>166</v>
      </c>
      <c r="B75" s="3">
        <f t="shared" si="12"/>
        <v>3</v>
      </c>
      <c r="C75" s="28" t="str">
        <f t="shared" si="13"/>
        <v>No date</v>
      </c>
      <c r="D75" s="28" t="str">
        <f t="shared" si="14"/>
        <v>No Date</v>
      </c>
      <c r="E75" s="3" t="str">
        <f t="shared" ca="1" si="15"/>
        <v>UNSCHEDULED</v>
      </c>
      <c r="F75" s="3" t="str">
        <f t="shared" ca="1" si="16"/>
        <v>N/A</v>
      </c>
      <c r="G75" s="3" t="str">
        <f t="shared" si="17"/>
        <v>Active</v>
      </c>
      <c r="H75" s="28"/>
      <c r="I75" s="31"/>
      <c r="J75" s="29"/>
      <c r="K75" s="29"/>
      <c r="L75" s="29"/>
      <c r="M75" s="29"/>
      <c r="N75" s="4"/>
      <c r="O75" s="4"/>
      <c r="P75" s="4"/>
      <c r="Q75" s="4"/>
      <c r="R75" s="4"/>
      <c r="S75" s="4"/>
      <c r="T75" s="4"/>
      <c r="AA75" s="4"/>
    </row>
    <row r="76" spans="1:27" ht="15" thickBot="1">
      <c r="A76" s="1" t="s">
        <v>168</v>
      </c>
      <c r="B76" s="3">
        <f t="shared" si="12"/>
        <v>2</v>
      </c>
      <c r="C76" s="28" t="str">
        <f t="shared" si="13"/>
        <v>No date</v>
      </c>
      <c r="D76" s="28" t="str">
        <f t="shared" si="14"/>
        <v>No Date</v>
      </c>
      <c r="E76" s="3" t="str">
        <f t="shared" ca="1" si="15"/>
        <v>UNSCHEDULED</v>
      </c>
      <c r="F76" s="3" t="str">
        <f t="shared" ca="1" si="16"/>
        <v>N/A</v>
      </c>
      <c r="G76" s="3" t="str">
        <f t="shared" si="17"/>
        <v>Active</v>
      </c>
      <c r="H76" s="28"/>
      <c r="I76" s="31"/>
      <c r="J76" s="29"/>
      <c r="K76" s="29"/>
      <c r="L76" s="29"/>
      <c r="M76" s="29"/>
      <c r="N76" s="4"/>
      <c r="O76" s="4"/>
      <c r="P76" s="4"/>
      <c r="Q76" s="4"/>
      <c r="R76" s="4"/>
      <c r="S76" s="4"/>
      <c r="T76" s="4"/>
      <c r="AA76" s="4"/>
    </row>
    <row r="77" spans="1:27" ht="15" thickBot="1">
      <c r="A77" s="1" t="s">
        <v>169</v>
      </c>
      <c r="B77" s="3">
        <f t="shared" si="12"/>
        <v>2</v>
      </c>
      <c r="C77" s="28">
        <f t="shared" si="13"/>
        <v>46091</v>
      </c>
      <c r="D77" s="28">
        <f t="shared" si="14"/>
        <v>46031</v>
      </c>
      <c r="E77" s="3" t="str">
        <f t="shared" ca="1" si="15"/>
        <v>OK</v>
      </c>
      <c r="F77" s="3">
        <f t="shared" ca="1" si="16"/>
        <v>60</v>
      </c>
      <c r="G77" s="3" t="str">
        <f t="shared" si="17"/>
        <v>Decommissioned</v>
      </c>
      <c r="H77" s="28"/>
      <c r="I77" s="31">
        <v>46031</v>
      </c>
      <c r="J77" s="29"/>
      <c r="K77" s="29"/>
      <c r="L77" s="29"/>
      <c r="M77" s="29"/>
      <c r="N77" s="4"/>
      <c r="O77" s="4"/>
      <c r="P77" s="4"/>
      <c r="Q77" s="4"/>
      <c r="R77" s="4"/>
      <c r="S77" s="4"/>
      <c r="T77" s="4"/>
      <c r="AA77" s="4"/>
    </row>
    <row r="78" spans="1:27" ht="15" thickBot="1">
      <c r="A78" s="1" t="s">
        <v>170</v>
      </c>
      <c r="B78" s="3">
        <f t="shared" si="12"/>
        <v>2</v>
      </c>
      <c r="C78" s="28" t="str">
        <f t="shared" si="13"/>
        <v>No date</v>
      </c>
      <c r="D78" s="28" t="str">
        <f t="shared" si="14"/>
        <v>No Date</v>
      </c>
      <c r="E78" s="3" t="str">
        <f t="shared" ca="1" si="15"/>
        <v>UNSCHEDULED</v>
      </c>
      <c r="F78" s="3" t="str">
        <f t="shared" ca="1" si="16"/>
        <v>N/A</v>
      </c>
      <c r="G78" s="3" t="str">
        <f t="shared" si="17"/>
        <v>Active</v>
      </c>
      <c r="H78" s="28"/>
      <c r="I78" s="31"/>
      <c r="J78" s="29"/>
      <c r="K78" s="29"/>
      <c r="L78" s="29"/>
      <c r="M78" s="29"/>
      <c r="N78" s="4"/>
      <c r="O78" s="4"/>
      <c r="P78" s="4"/>
      <c r="Q78" s="4"/>
      <c r="R78" s="4"/>
      <c r="S78" s="4"/>
      <c r="T78" s="4"/>
      <c r="AA78" s="4"/>
    </row>
    <row r="79" spans="1:27" ht="15" thickBot="1">
      <c r="A79" s="1" t="s">
        <v>171</v>
      </c>
      <c r="B79" s="3">
        <f t="shared" si="12"/>
        <v>3</v>
      </c>
      <c r="C79" s="28" t="str">
        <f t="shared" si="13"/>
        <v>No date</v>
      </c>
      <c r="D79" s="28" t="str">
        <f t="shared" si="14"/>
        <v>No Date</v>
      </c>
      <c r="E79" s="3" t="str">
        <f t="shared" ca="1" si="15"/>
        <v>UNSCHEDULED</v>
      </c>
      <c r="F79" s="3" t="str">
        <f t="shared" ca="1" si="16"/>
        <v>N/A</v>
      </c>
      <c r="G79" s="3" t="str">
        <f t="shared" si="17"/>
        <v>Active</v>
      </c>
      <c r="H79" s="28"/>
      <c r="I79" s="31"/>
      <c r="J79" s="29"/>
      <c r="K79" s="29"/>
      <c r="L79" s="29"/>
      <c r="M79" s="29"/>
      <c r="N79" s="4"/>
      <c r="O79" s="4"/>
      <c r="P79" s="4"/>
      <c r="Q79" s="4"/>
      <c r="R79" s="4"/>
      <c r="S79" s="4"/>
      <c r="T79" s="4"/>
      <c r="AA79" s="4"/>
    </row>
    <row r="80" spans="1:27" ht="15" thickBot="1">
      <c r="A80" s="1" t="s">
        <v>173</v>
      </c>
      <c r="B80" s="3">
        <f t="shared" si="12"/>
        <v>3</v>
      </c>
      <c r="C80" s="28" t="str">
        <f t="shared" si="13"/>
        <v>No date</v>
      </c>
      <c r="D80" s="28" t="str">
        <f t="shared" si="14"/>
        <v>No Date</v>
      </c>
      <c r="E80" s="3" t="str">
        <f t="shared" ca="1" si="15"/>
        <v>UNSCHEDULED</v>
      </c>
      <c r="F80" s="3" t="str">
        <f t="shared" ca="1" si="16"/>
        <v>N/A</v>
      </c>
      <c r="G80" s="3" t="str">
        <f t="shared" si="17"/>
        <v>Active</v>
      </c>
      <c r="H80" s="28"/>
      <c r="I80" s="31"/>
      <c r="J80" s="29"/>
      <c r="K80" s="29"/>
      <c r="L80" s="29"/>
      <c r="M80" s="29"/>
      <c r="N80" s="4"/>
      <c r="O80" s="4"/>
      <c r="P80" s="4"/>
      <c r="Q80" s="4"/>
      <c r="R80" s="4"/>
      <c r="S80" s="4"/>
      <c r="T80" s="4"/>
      <c r="AA80" s="4"/>
    </row>
    <row r="81" spans="1:27" ht="15" thickBot="1">
      <c r="A81" s="1" t="s">
        <v>175</v>
      </c>
      <c r="B81" s="3">
        <f t="shared" si="12"/>
        <v>3</v>
      </c>
      <c r="C81" s="28" t="str">
        <f t="shared" si="13"/>
        <v>No date</v>
      </c>
      <c r="D81" s="28" t="str">
        <f t="shared" si="14"/>
        <v>No Date</v>
      </c>
      <c r="E81" s="3" t="str">
        <f t="shared" ca="1" si="15"/>
        <v>UNSCHEDULED</v>
      </c>
      <c r="F81" s="3" t="str">
        <f t="shared" ca="1" si="16"/>
        <v>N/A</v>
      </c>
      <c r="G81" s="3" t="str">
        <f t="shared" si="17"/>
        <v>Active</v>
      </c>
      <c r="H81" s="28"/>
      <c r="I81" s="31"/>
      <c r="J81" s="29"/>
      <c r="K81" s="29"/>
      <c r="L81" s="29"/>
      <c r="M81" s="29"/>
      <c r="N81" s="4"/>
      <c r="O81" s="4"/>
      <c r="P81" s="4"/>
      <c r="Q81" s="4"/>
      <c r="R81" s="4"/>
      <c r="S81" s="4"/>
      <c r="T81" s="4"/>
      <c r="AA81" s="4"/>
    </row>
    <row r="82" spans="1:27" ht="15" thickBot="1">
      <c r="A82" s="1" t="s">
        <v>176</v>
      </c>
      <c r="B82" s="3">
        <f t="shared" si="12"/>
        <v>3</v>
      </c>
      <c r="C82" s="28" t="str">
        <f t="shared" si="13"/>
        <v>No date</v>
      </c>
      <c r="D82" s="28" t="str">
        <f t="shared" si="14"/>
        <v>No Date</v>
      </c>
      <c r="E82" s="3" t="str">
        <f t="shared" ca="1" si="15"/>
        <v>UNSCHEDULED</v>
      </c>
      <c r="F82" s="3" t="str">
        <f t="shared" ca="1" si="16"/>
        <v>N/A</v>
      </c>
      <c r="G82" s="3" t="str">
        <f t="shared" si="17"/>
        <v>Active</v>
      </c>
      <c r="H82" s="28"/>
      <c r="I82" s="31"/>
      <c r="J82" s="29"/>
      <c r="K82" s="29"/>
      <c r="L82" s="29"/>
      <c r="M82" s="29"/>
      <c r="N82" s="4"/>
      <c r="O82" s="4"/>
      <c r="P82" s="4"/>
      <c r="Q82" s="4"/>
      <c r="R82" s="4"/>
      <c r="S82" s="4"/>
      <c r="T82" s="4"/>
      <c r="AA82" s="4"/>
    </row>
    <row r="83" spans="1:27" ht="15" thickBot="1">
      <c r="A83" s="1" t="s">
        <v>178</v>
      </c>
      <c r="B83" s="3">
        <f t="shared" si="12"/>
        <v>3</v>
      </c>
      <c r="C83" s="28" t="str">
        <f t="shared" si="13"/>
        <v>No date</v>
      </c>
      <c r="D83" s="28" t="str">
        <f t="shared" si="14"/>
        <v>No Date</v>
      </c>
      <c r="E83" s="3" t="str">
        <f t="shared" ca="1" si="15"/>
        <v>UNSCHEDULED</v>
      </c>
      <c r="F83" s="3" t="str">
        <f t="shared" ca="1" si="16"/>
        <v>N/A</v>
      </c>
      <c r="G83" s="3" t="str">
        <f t="shared" si="17"/>
        <v>Active</v>
      </c>
      <c r="H83" s="28"/>
      <c r="I83" s="31"/>
      <c r="J83" s="29"/>
      <c r="K83" s="29"/>
      <c r="L83" s="29"/>
      <c r="M83" s="29"/>
      <c r="N83" s="4"/>
      <c r="O83" s="4"/>
      <c r="P83" s="4"/>
      <c r="Q83" s="4"/>
      <c r="R83" s="4"/>
      <c r="S83" s="4"/>
      <c r="T83" s="4"/>
      <c r="AA83" s="4"/>
    </row>
    <row r="84" spans="1:27" ht="15" thickBot="1">
      <c r="A84" s="1" t="s">
        <v>180</v>
      </c>
      <c r="B84" s="3">
        <f t="shared" si="12"/>
        <v>3</v>
      </c>
      <c r="C84" s="28" t="str">
        <f t="shared" si="13"/>
        <v>No date</v>
      </c>
      <c r="D84" s="28" t="str">
        <f t="shared" si="14"/>
        <v>No Date</v>
      </c>
      <c r="E84" s="3" t="str">
        <f t="shared" ca="1" si="15"/>
        <v>UNSCHEDULED</v>
      </c>
      <c r="F84" s="3" t="str">
        <f t="shared" ca="1" si="16"/>
        <v>N/A</v>
      </c>
      <c r="G84" s="3" t="str">
        <f t="shared" si="17"/>
        <v>Active</v>
      </c>
      <c r="H84" s="28"/>
      <c r="I84" s="31"/>
      <c r="J84" s="29"/>
      <c r="K84" s="29"/>
      <c r="L84" s="29"/>
      <c r="M84" s="29"/>
      <c r="N84" s="4"/>
      <c r="O84" s="4"/>
      <c r="P84" s="4"/>
      <c r="Q84" s="4"/>
      <c r="R84" s="4"/>
      <c r="S84" s="4"/>
      <c r="T84" s="4"/>
      <c r="AA84" s="4"/>
    </row>
    <row r="85" spans="1:27" ht="15" thickBot="1">
      <c r="A85" s="1" t="s">
        <v>182</v>
      </c>
      <c r="B85" s="3">
        <f t="shared" si="12"/>
        <v>2</v>
      </c>
      <c r="C85" s="28" t="str">
        <f t="shared" si="13"/>
        <v>No date</v>
      </c>
      <c r="D85" s="28" t="str">
        <f t="shared" si="14"/>
        <v>No Date</v>
      </c>
      <c r="E85" s="3" t="str">
        <f t="shared" ca="1" si="15"/>
        <v>UNSCHEDULED</v>
      </c>
      <c r="F85" s="3" t="str">
        <f t="shared" ca="1" si="16"/>
        <v>N/A</v>
      </c>
      <c r="G85" s="3" t="str">
        <f t="shared" si="17"/>
        <v>Active</v>
      </c>
      <c r="H85" s="28"/>
      <c r="I85" s="31"/>
      <c r="J85" s="29"/>
      <c r="K85" s="29"/>
      <c r="L85" s="29"/>
      <c r="M85" s="29"/>
      <c r="N85" s="4"/>
      <c r="O85" s="4"/>
      <c r="P85" s="4"/>
      <c r="Q85" s="4"/>
      <c r="R85" s="4"/>
      <c r="T85" s="4"/>
      <c r="AA85" s="4"/>
    </row>
  </sheetData>
  <autoFilter ref="A1:I85" xr:uid="{812F0601-6830-467D-8336-7950E8695B94}"/>
  <conditionalFormatting sqref="A2:A85">
    <cfRule type="expression" dxfId="11" priority="1" stopIfTrue="1">
      <formula>AND(   ISNUMBER($C2),   TODAY() &gt; $C2 )</formula>
    </cfRule>
    <cfRule type="expression" dxfId="10" priority="2">
      <formula>AND(ISNUMBER($C2), $C2 &gt;= TODAY(), $C2 &lt;= EDATE(TODAY(),1))</formula>
    </cfRule>
  </conditionalFormatting>
  <conditionalFormatting sqref="A2:D98 F2:T84 F85:R85 T85 F86:T98">
    <cfRule type="expression" dxfId="9" priority="9">
      <formula>$Z2="Decommissioned"</formula>
    </cfRule>
  </conditionalFormatting>
  <conditionalFormatting sqref="A2:D98 F2:T98 AA2:ZY98">
    <cfRule type="expression" dxfId="8" priority="16" stopIfTrue="1">
      <formula>$G2="Decommissioned"</formula>
    </cfRule>
  </conditionalFormatting>
  <conditionalFormatting sqref="C2:C98">
    <cfRule type="expression" dxfId="7" priority="7" stopIfTrue="1">
      <formula>AND(ISNUMBER(C2),C2&lt;TODAY())</formula>
    </cfRule>
    <cfRule type="expression" dxfId="6" priority="8" stopIfTrue="1">
      <formula>AND(ISNUMBER(C2),C2&gt;=TODAY(),C2&lt;TODAY()+WarningDays)</formula>
    </cfRule>
  </conditionalFormatting>
  <conditionalFormatting sqref="E2:E98">
    <cfRule type="cellIs" dxfId="5" priority="17" stopIfTrue="1" operator="equal">
      <formula>"OVERDUE"</formula>
    </cfRule>
    <cfRule type="cellIs" dxfId="4" priority="18" stopIfTrue="1" operator="equal">
      <formula>"OK"</formula>
    </cfRule>
    <cfRule type="cellIs" dxfId="3" priority="19" stopIfTrue="1" operator="equal">
      <formula>"UNSCHEDULED"</formula>
    </cfRule>
  </conditionalFormatting>
  <dataValidations count="2">
    <dataValidation type="list" allowBlank="1" showInputMessage="1" sqref="A2:A198" xr:uid="{BA22566B-69C5-4629-86C0-5D7BA84500E2}">
      <formula1>MasterServerList</formula1>
    </dataValidation>
    <dataValidation type="list" allowBlank="1" showInputMessage="1" showErrorMessage="1" errorTitle="Invalid Priority" error="Please select a priority from the list (1, 2, or 3)." sqref="B2:B500" xr:uid="{A704D817-CB0B-43E0-AC5E-B32D29CDD5BD}">
      <formula1>PriorityList</formula1>
    </dataValidation>
  </dataValidation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847D-85FE-4463-A819-4D1CBB1F4001}">
  <dimension ref="A1:K103"/>
  <sheetViews>
    <sheetView tabSelected="1" topLeftCell="A17" zoomScale="70" zoomScaleNormal="70" workbookViewId="0">
      <selection activeCell="I65" sqref="I65"/>
    </sheetView>
  </sheetViews>
  <sheetFormatPr defaultColWidth="18.1796875" defaultRowHeight="14.5"/>
  <cols>
    <col min="1" max="1" width="23.1796875" customWidth="1"/>
    <col min="2" max="2" width="13.453125" customWidth="1"/>
    <col min="3" max="3" width="27.81640625" customWidth="1"/>
    <col min="4" max="4" width="12.26953125" style="4" customWidth="1"/>
    <col min="5" max="5" width="10.26953125" customWidth="1"/>
    <col min="6" max="6" width="20.453125" customWidth="1"/>
    <col min="7" max="7" width="16" style="3" customWidth="1"/>
    <col min="8" max="8" width="26.26953125" customWidth="1"/>
    <col min="10" max="10" width="15.54296875" customWidth="1"/>
    <col min="11" max="11" width="15" customWidth="1"/>
    <col min="12" max="12" width="14.54296875" customWidth="1"/>
  </cols>
  <sheetData>
    <row r="1" spans="1:11">
      <c r="A1" s="13" t="s">
        <v>0</v>
      </c>
      <c r="B1" s="13" t="s">
        <v>1</v>
      </c>
      <c r="C1" s="13" t="s">
        <v>2</v>
      </c>
      <c r="D1"/>
    </row>
    <row r="2" spans="1:11" ht="39.65" customHeight="1">
      <c r="A2" s="5" t="s">
        <v>3</v>
      </c>
      <c r="B2" s="3">
        <v>1</v>
      </c>
      <c r="C2" s="3">
        <v>3</v>
      </c>
      <c r="D2"/>
    </row>
    <row r="3" spans="1:11">
      <c r="A3" s="5" t="s">
        <v>4</v>
      </c>
      <c r="B3" s="3">
        <v>2</v>
      </c>
      <c r="C3" s="3">
        <v>6</v>
      </c>
      <c r="D3"/>
    </row>
    <row r="4" spans="1:11">
      <c r="A4" t="s">
        <v>5</v>
      </c>
      <c r="B4" s="3">
        <v>3</v>
      </c>
      <c r="C4" s="3">
        <v>12</v>
      </c>
      <c r="D4"/>
    </row>
    <row r="5" spans="1:11">
      <c r="D5"/>
    </row>
    <row r="6" spans="1:11">
      <c r="D6"/>
    </row>
    <row r="7" spans="1:11" ht="44" thickBot="1">
      <c r="A7" s="10" t="s">
        <v>6</v>
      </c>
      <c r="B7" s="10" t="s">
        <v>7</v>
      </c>
      <c r="C7" s="10" t="s">
        <v>8</v>
      </c>
      <c r="D7" s="11" t="s">
        <v>9</v>
      </c>
      <c r="E7" s="10" t="s">
        <v>10</v>
      </c>
      <c r="F7" s="10" t="s">
        <v>11</v>
      </c>
      <c r="G7" s="12" t="s">
        <v>12</v>
      </c>
      <c r="H7" s="10" t="s">
        <v>13</v>
      </c>
      <c r="J7" s="10" t="s">
        <v>14</v>
      </c>
      <c r="K7" s="10" t="s">
        <v>15</v>
      </c>
    </row>
    <row r="8" spans="1:11" ht="16.5" thickBot="1">
      <c r="A8" s="1" t="s">
        <v>16</v>
      </c>
      <c r="B8" t="s">
        <v>17</v>
      </c>
      <c r="C8" t="s">
        <v>18</v>
      </c>
      <c r="D8" s="29">
        <f>IFERROR(VLOOKUP(A8,'NextDC M1'!A:D,4,FALSE),"")</f>
        <v>45909</v>
      </c>
      <c r="E8" s="3">
        <v>2</v>
      </c>
      <c r="G8" t="s">
        <v>19</v>
      </c>
      <c r="H8" t="s">
        <v>20</v>
      </c>
      <c r="J8" s="3">
        <v>1</v>
      </c>
      <c r="K8" s="7" t="s">
        <v>21</v>
      </c>
    </row>
    <row r="9" spans="1:11" ht="16.5" thickBot="1">
      <c r="A9" s="1" t="s">
        <v>22</v>
      </c>
      <c r="B9" t="s">
        <v>17</v>
      </c>
      <c r="C9" t="s">
        <v>23</v>
      </c>
      <c r="D9" s="29">
        <f>IFERROR(VLOOKUP(A9,'NextDC M1'!A:D,4,FALSE),"")</f>
        <v>45910</v>
      </c>
      <c r="E9" s="3">
        <v>2</v>
      </c>
      <c r="F9" t="s">
        <v>24</v>
      </c>
      <c r="G9" t="s">
        <v>25</v>
      </c>
      <c r="I9" t="s">
        <v>25</v>
      </c>
      <c r="K9" s="7" t="s">
        <v>26</v>
      </c>
    </row>
    <row r="10" spans="1:11" ht="16.5" thickBot="1">
      <c r="A10" s="1" t="s">
        <v>27</v>
      </c>
      <c r="B10" t="s">
        <v>17</v>
      </c>
      <c r="C10" t="s">
        <v>28</v>
      </c>
      <c r="D10" s="29">
        <f>IFERROR(VLOOKUP(A10,'NextDC M1'!A:D,4,FALSE),"")</f>
        <v>45966</v>
      </c>
      <c r="E10" s="3">
        <v>2</v>
      </c>
      <c r="F10" t="s">
        <v>29</v>
      </c>
      <c r="G10" t="s">
        <v>19</v>
      </c>
      <c r="H10" t="s">
        <v>20</v>
      </c>
      <c r="I10" t="s">
        <v>25</v>
      </c>
      <c r="K10" s="7" t="s">
        <v>30</v>
      </c>
    </row>
    <row r="11" spans="1:11" ht="16.5" thickBot="1">
      <c r="A11" s="1" t="s">
        <v>31</v>
      </c>
      <c r="B11" t="s">
        <v>17</v>
      </c>
      <c r="C11" t="s">
        <v>32</v>
      </c>
      <c r="D11" s="29">
        <f>IFERROR(VLOOKUP(A11,'NextDC M1'!A:D,4,FALSE),"")</f>
        <v>45959</v>
      </c>
      <c r="E11" s="3">
        <v>2</v>
      </c>
      <c r="F11" t="s">
        <v>24</v>
      </c>
      <c r="G11" t="s">
        <v>25</v>
      </c>
      <c r="I11" t="s">
        <v>25</v>
      </c>
      <c r="K11" s="7" t="s">
        <v>33</v>
      </c>
    </row>
    <row r="12" spans="1:11" ht="15" thickBot="1">
      <c r="A12" s="1" t="s">
        <v>34</v>
      </c>
      <c r="B12" t="s">
        <v>17</v>
      </c>
      <c r="C12" t="s">
        <v>35</v>
      </c>
      <c r="D12" s="29" t="str">
        <f>IFERROR(VLOOKUP(A12,'NextDC M1'!A:D,4,FALSE),"")</f>
        <v>No Date</v>
      </c>
      <c r="E12" s="3">
        <v>3</v>
      </c>
      <c r="G12" t="s">
        <v>25</v>
      </c>
      <c r="I12" t="s">
        <v>25</v>
      </c>
      <c r="K12" s="6"/>
    </row>
    <row r="13" spans="1:11" ht="15" thickBot="1">
      <c r="A13" s="1" t="s">
        <v>36</v>
      </c>
      <c r="B13" t="s">
        <v>17</v>
      </c>
      <c r="C13" t="s">
        <v>37</v>
      </c>
      <c r="D13" s="29">
        <f>IFERROR(VLOOKUP(A13,'NextDC M1'!A:D,4,FALSE),"")</f>
        <v>46009</v>
      </c>
      <c r="E13" s="3">
        <v>2</v>
      </c>
      <c r="G13" t="s">
        <v>25</v>
      </c>
      <c r="I13" t="s">
        <v>25</v>
      </c>
      <c r="J13" t="s">
        <v>16</v>
      </c>
      <c r="K13" s="15" t="s">
        <v>38</v>
      </c>
    </row>
    <row r="14" spans="1:11" ht="15" thickBot="1">
      <c r="A14" s="1" t="s">
        <v>39</v>
      </c>
      <c r="B14" t="s">
        <v>17</v>
      </c>
      <c r="C14" t="s">
        <v>40</v>
      </c>
      <c r="D14" s="29">
        <f>IFERROR(VLOOKUP(A14,'NextDC M1'!A:D,4,FALSE),"")</f>
        <v>46008</v>
      </c>
      <c r="E14" s="3">
        <v>2</v>
      </c>
      <c r="G14" t="s">
        <v>25</v>
      </c>
      <c r="I14" t="s">
        <v>25</v>
      </c>
      <c r="J14" t="s">
        <v>41</v>
      </c>
      <c r="K14" s="15" t="s">
        <v>42</v>
      </c>
    </row>
    <row r="15" spans="1:11" ht="15" thickBot="1">
      <c r="A15" s="1" t="s">
        <v>43</v>
      </c>
      <c r="B15" t="s">
        <v>17</v>
      </c>
      <c r="C15" t="s">
        <v>44</v>
      </c>
      <c r="D15" s="29">
        <f>IFERROR(VLOOKUP(A15,'NextDC M1'!A:D,4,FALSE),"")</f>
        <v>45910</v>
      </c>
      <c r="E15" s="3">
        <v>2</v>
      </c>
      <c r="G15" t="s">
        <v>25</v>
      </c>
      <c r="I15" t="s">
        <v>25</v>
      </c>
      <c r="K15" s="15" t="s">
        <v>45</v>
      </c>
    </row>
    <row r="16" spans="1:11" ht="15" thickBot="1">
      <c r="A16" s="1" t="s">
        <v>46</v>
      </c>
      <c r="B16" t="s">
        <v>17</v>
      </c>
      <c r="C16" t="s">
        <v>47</v>
      </c>
      <c r="D16" s="29">
        <f>IFERROR(VLOOKUP(A16,'NextDC M1'!A:D,4,FALSE),"")</f>
        <v>45904</v>
      </c>
      <c r="E16" s="3">
        <v>1</v>
      </c>
      <c r="F16" t="s">
        <v>24</v>
      </c>
      <c r="G16" t="s">
        <v>19</v>
      </c>
      <c r="H16" s="9" t="s">
        <v>48</v>
      </c>
      <c r="I16" t="s">
        <v>25</v>
      </c>
      <c r="K16" s="15" t="s">
        <v>49</v>
      </c>
    </row>
    <row r="17" spans="1:11" ht="15" thickBot="1">
      <c r="A17" s="1" t="s">
        <v>50</v>
      </c>
      <c r="B17" t="s">
        <v>17</v>
      </c>
      <c r="C17" t="s">
        <v>51</v>
      </c>
      <c r="D17" s="29">
        <f>IFERROR(VLOOKUP(A17,'NextDC M1'!A:D,4,FALSE),"")</f>
        <v>45904</v>
      </c>
      <c r="E17" s="3">
        <v>1</v>
      </c>
      <c r="F17" t="s">
        <v>24</v>
      </c>
      <c r="G17" t="s">
        <v>19</v>
      </c>
      <c r="H17" s="9" t="s">
        <v>48</v>
      </c>
      <c r="I17" t="s">
        <v>25</v>
      </c>
      <c r="K17" s="15" t="s">
        <v>52</v>
      </c>
    </row>
    <row r="18" spans="1:11" ht="15" thickBot="1">
      <c r="A18" s="1" t="s">
        <v>53</v>
      </c>
      <c r="B18" t="s">
        <v>17</v>
      </c>
      <c r="C18" t="s">
        <v>54</v>
      </c>
      <c r="D18" s="29">
        <f>IFERROR(VLOOKUP(A18,'NextDC M1'!A:D,4,FALSE),"")</f>
        <v>45904</v>
      </c>
      <c r="E18" s="3">
        <v>1</v>
      </c>
      <c r="F18" t="s">
        <v>24</v>
      </c>
      <c r="G18" t="s">
        <v>19</v>
      </c>
      <c r="H18" s="9" t="s">
        <v>48</v>
      </c>
      <c r="I18" t="s">
        <v>25</v>
      </c>
      <c r="K18" s="15" t="s">
        <v>55</v>
      </c>
    </row>
    <row r="19" spans="1:11" ht="15" thickBot="1">
      <c r="A19" s="1" t="s">
        <v>56</v>
      </c>
      <c r="B19" t="s">
        <v>17</v>
      </c>
      <c r="C19" t="s">
        <v>57</v>
      </c>
      <c r="D19" s="29">
        <f>IFERROR(VLOOKUP(A19,'NextDC M1'!A:D,4,FALSE),"")</f>
        <v>45904</v>
      </c>
      <c r="E19" s="3">
        <v>1</v>
      </c>
      <c r="F19" t="s">
        <v>24</v>
      </c>
      <c r="G19" t="s">
        <v>19</v>
      </c>
      <c r="H19" s="9" t="s">
        <v>48</v>
      </c>
      <c r="I19" t="s">
        <v>25</v>
      </c>
      <c r="K19" s="15" t="s">
        <v>58</v>
      </c>
    </row>
    <row r="20" spans="1:11" ht="15" thickBot="1">
      <c r="A20" s="1" t="s">
        <v>59</v>
      </c>
      <c r="B20" t="s">
        <v>17</v>
      </c>
      <c r="C20" t="s">
        <v>60</v>
      </c>
      <c r="D20" s="29">
        <f>IFERROR(VLOOKUP(A20,'NextDC M1'!A:D,4,FALSE),"")</f>
        <v>45904</v>
      </c>
      <c r="E20" s="3">
        <v>1</v>
      </c>
      <c r="F20" t="s">
        <v>24</v>
      </c>
      <c r="G20" t="s">
        <v>25</v>
      </c>
      <c r="H20" t="s">
        <v>61</v>
      </c>
      <c r="I20" t="s">
        <v>25</v>
      </c>
      <c r="K20" s="15" t="s">
        <v>62</v>
      </c>
    </row>
    <row r="21" spans="1:11" ht="15" thickBot="1">
      <c r="A21" s="1" t="s">
        <v>63</v>
      </c>
      <c r="B21" t="s">
        <v>17</v>
      </c>
      <c r="C21" t="s">
        <v>64</v>
      </c>
      <c r="D21" s="29">
        <f>IFERROR(VLOOKUP(A21,'NextDC M1'!A:D,4,FALSE),"")</f>
        <v>45928</v>
      </c>
      <c r="E21" s="3">
        <v>1</v>
      </c>
      <c r="F21" t="s">
        <v>24</v>
      </c>
      <c r="G21" t="s">
        <v>25</v>
      </c>
      <c r="H21" t="s">
        <v>61</v>
      </c>
      <c r="I21" t="s">
        <v>25</v>
      </c>
    </row>
    <row r="22" spans="1:11" ht="15" thickBot="1">
      <c r="A22" s="1" t="s">
        <v>65</v>
      </c>
      <c r="B22" t="s">
        <v>17</v>
      </c>
      <c r="C22" s="2" t="s">
        <v>66</v>
      </c>
      <c r="D22" s="29" t="str">
        <f>IFERROR(VLOOKUP(A22,'NextDC M1'!A:D,4,FALSE),"")</f>
        <v>No Date</v>
      </c>
      <c r="E22" s="3">
        <v>1</v>
      </c>
      <c r="F22" t="s">
        <v>67</v>
      </c>
      <c r="G22" t="s">
        <v>68</v>
      </c>
      <c r="H22" t="s">
        <v>69</v>
      </c>
      <c r="I22" t="s">
        <v>25</v>
      </c>
    </row>
    <row r="23" spans="1:11" ht="15" thickBot="1">
      <c r="A23" s="1" t="s">
        <v>70</v>
      </c>
      <c r="B23" t="s">
        <v>17</v>
      </c>
      <c r="C23" s="2" t="s">
        <v>71</v>
      </c>
      <c r="D23" s="29" t="str">
        <f>IFERROR(VLOOKUP(A23,'NextDC M1'!A:D,4,FALSE),"")</f>
        <v>No Date</v>
      </c>
      <c r="E23" s="3">
        <v>1</v>
      </c>
      <c r="F23" t="s">
        <v>67</v>
      </c>
      <c r="G23" t="s">
        <v>68</v>
      </c>
      <c r="H23" t="s">
        <v>69</v>
      </c>
      <c r="I23" t="s">
        <v>25</v>
      </c>
    </row>
    <row r="24" spans="1:11" ht="15" thickBot="1">
      <c r="A24" s="1" t="s">
        <v>72</v>
      </c>
      <c r="B24" t="s">
        <v>17</v>
      </c>
      <c r="C24" t="s">
        <v>73</v>
      </c>
      <c r="D24" s="29">
        <f>IFERROR(VLOOKUP(A24,'NextDC M1'!A:D,4,FALSE),"")</f>
        <v>46009</v>
      </c>
      <c r="E24" s="3">
        <v>2</v>
      </c>
      <c r="G24" t="s">
        <v>25</v>
      </c>
      <c r="H24" s="8"/>
      <c r="I24" t="s">
        <v>25</v>
      </c>
      <c r="J24" s="3">
        <v>3</v>
      </c>
      <c r="K24" s="6" t="s">
        <v>74</v>
      </c>
    </row>
    <row r="25" spans="1:11" ht="15" thickBot="1">
      <c r="A25" s="1" t="s">
        <v>75</v>
      </c>
      <c r="B25" t="s">
        <v>17</v>
      </c>
      <c r="D25" s="29" t="str">
        <f>IFERROR(VLOOKUP(A25,'NextDC M1'!A:D,4,FALSE),"")</f>
        <v>No Date</v>
      </c>
      <c r="E25" s="3"/>
      <c r="G25" t="s">
        <v>25</v>
      </c>
      <c r="H25" s="8"/>
      <c r="I25" t="s">
        <v>25</v>
      </c>
      <c r="K25" s="6" t="s">
        <v>76</v>
      </c>
    </row>
    <row r="26" spans="1:11" ht="15" thickBot="1">
      <c r="A26" s="1" t="s">
        <v>77</v>
      </c>
      <c r="B26" t="s">
        <v>17</v>
      </c>
      <c r="D26" s="29" t="str">
        <f>IFERROR(VLOOKUP(A26,'NextDC M1'!A:D,4,FALSE),"")</f>
        <v>No Date</v>
      </c>
      <c r="E26" s="3"/>
      <c r="G26" t="s">
        <v>25</v>
      </c>
      <c r="I26" t="s">
        <v>25</v>
      </c>
      <c r="K26" s="6" t="s">
        <v>78</v>
      </c>
    </row>
    <row r="27" spans="1:11" ht="15" thickBot="1">
      <c r="A27" s="1" t="s">
        <v>79</v>
      </c>
      <c r="B27" t="s">
        <v>17</v>
      </c>
      <c r="D27" s="29" t="str">
        <f>IFERROR(VLOOKUP(A27,'NextDC M1'!A:D,4,FALSE),"")</f>
        <v>No Date</v>
      </c>
      <c r="E27" s="3"/>
      <c r="G27" t="s">
        <v>25</v>
      </c>
      <c r="I27" t="s">
        <v>25</v>
      </c>
      <c r="K27" s="6" t="s">
        <v>80</v>
      </c>
    </row>
    <row r="28" spans="1:11" ht="15" thickBot="1">
      <c r="A28" s="1" t="s">
        <v>81</v>
      </c>
      <c r="B28" t="s">
        <v>17</v>
      </c>
      <c r="D28" s="29" t="str">
        <f>IFERROR(VLOOKUP(A28,'NextDC M1'!A:D,4,FALSE),"")</f>
        <v>No Date</v>
      </c>
      <c r="E28" s="3"/>
      <c r="G28" t="s">
        <v>25</v>
      </c>
      <c r="I28" t="s">
        <v>25</v>
      </c>
      <c r="K28" s="6" t="s">
        <v>82</v>
      </c>
    </row>
    <row r="29" spans="1:11" ht="15" thickBot="1">
      <c r="A29" s="1" t="s">
        <v>83</v>
      </c>
      <c r="B29" t="s">
        <v>17</v>
      </c>
      <c r="D29" s="29" t="str">
        <f>IFERROR(VLOOKUP(A29,'NextDC M1'!A:D,4,FALSE),"")</f>
        <v>No Date</v>
      </c>
      <c r="E29" s="3"/>
      <c r="G29" t="s">
        <v>25</v>
      </c>
      <c r="I29" t="s">
        <v>25</v>
      </c>
      <c r="K29" s="6" t="s">
        <v>84</v>
      </c>
    </row>
    <row r="30" spans="1:11" ht="15" thickBot="1">
      <c r="A30" s="1" t="s">
        <v>85</v>
      </c>
      <c r="B30" t="s">
        <v>17</v>
      </c>
      <c r="C30" t="s">
        <v>86</v>
      </c>
      <c r="D30" s="29" t="str">
        <f>IFERROR(VLOOKUP(A30,'NextDC M1'!A:D,4,FALSE),"")</f>
        <v>No Date</v>
      </c>
      <c r="E30" s="3">
        <v>2</v>
      </c>
      <c r="G30" t="s">
        <v>25</v>
      </c>
      <c r="I30" t="s">
        <v>25</v>
      </c>
      <c r="K30" s="6" t="s">
        <v>87</v>
      </c>
    </row>
    <row r="31" spans="1:11" ht="15" thickBot="1">
      <c r="A31" s="1" t="s">
        <v>88</v>
      </c>
      <c r="B31" t="s">
        <v>17</v>
      </c>
      <c r="C31" t="s">
        <v>89</v>
      </c>
      <c r="D31" s="29" t="str">
        <f>IFERROR(VLOOKUP(A31,'NextDC M1'!A:D,4,FALSE),"")</f>
        <v>No Date</v>
      </c>
      <c r="E31" s="3">
        <v>3</v>
      </c>
      <c r="G31" t="s">
        <v>25</v>
      </c>
      <c r="I31" t="s">
        <v>25</v>
      </c>
      <c r="K31" s="19" t="s">
        <v>90</v>
      </c>
    </row>
    <row r="32" spans="1:11" ht="15" thickBot="1">
      <c r="A32" s="1" t="s">
        <v>91</v>
      </c>
      <c r="B32" t="s">
        <v>17</v>
      </c>
      <c r="C32" t="s">
        <v>92</v>
      </c>
      <c r="D32" s="29" t="str">
        <f>IFERROR(VLOOKUP(A32,'NextDC M1'!A:D,4,FALSE),"")</f>
        <v>No Date</v>
      </c>
      <c r="E32" s="3">
        <v>3</v>
      </c>
      <c r="G32" t="s">
        <v>25</v>
      </c>
      <c r="I32" t="s">
        <v>25</v>
      </c>
      <c r="K32" s="20" t="s">
        <v>93</v>
      </c>
    </row>
    <row r="33" spans="1:11" ht="15" thickBot="1">
      <c r="A33" s="1" t="s">
        <v>94</v>
      </c>
      <c r="B33" t="s">
        <v>17</v>
      </c>
      <c r="D33" s="29" t="str">
        <f>IFERROR(VLOOKUP(A33,'NextDC M1'!A:D,4,FALSE),"")</f>
        <v>No Date</v>
      </c>
      <c r="E33" s="3"/>
      <c r="G33" t="s">
        <v>25</v>
      </c>
      <c r="I33" t="s">
        <v>25</v>
      </c>
    </row>
    <row r="34" spans="1:11" ht="15" thickBot="1">
      <c r="A34" s="1" t="s">
        <v>95</v>
      </c>
      <c r="B34" t="s">
        <v>17</v>
      </c>
      <c r="C34" t="s">
        <v>96</v>
      </c>
      <c r="D34" s="29">
        <f>IFERROR(VLOOKUP(A34,'NextDC M1'!A:D,4,FALSE),"")</f>
        <v>46023</v>
      </c>
      <c r="E34" s="3">
        <v>2</v>
      </c>
      <c r="G34" t="s">
        <v>25</v>
      </c>
      <c r="I34" t="s">
        <v>25</v>
      </c>
    </row>
    <row r="35" spans="1:11" ht="15" thickBot="1">
      <c r="A35" s="1" t="s">
        <v>97</v>
      </c>
      <c r="B35" t="s">
        <v>17</v>
      </c>
      <c r="C35" t="s">
        <v>96</v>
      </c>
      <c r="D35" s="29" t="str">
        <f>IFERROR(VLOOKUP(A35,'NextDC M1'!A:D,4,FALSE),"")</f>
        <v>No Date</v>
      </c>
      <c r="E35" s="3">
        <v>2</v>
      </c>
      <c r="G35" t="s">
        <v>25</v>
      </c>
      <c r="I35" t="s">
        <v>25</v>
      </c>
      <c r="J35">
        <v>3</v>
      </c>
      <c r="K35" s="6" t="s">
        <v>98</v>
      </c>
    </row>
    <row r="36" spans="1:11" ht="15" thickBot="1">
      <c r="A36" s="1" t="s">
        <v>99</v>
      </c>
      <c r="B36" t="s">
        <v>17</v>
      </c>
      <c r="D36" s="29" t="str">
        <f>IFERROR(VLOOKUP(A36,'NextDC M1'!A:D,4,FALSE),"")</f>
        <v>No Date</v>
      </c>
      <c r="E36" s="3"/>
      <c r="G36" t="s">
        <v>25</v>
      </c>
      <c r="I36" t="s">
        <v>25</v>
      </c>
      <c r="K36" s="6" t="s">
        <v>100</v>
      </c>
    </row>
    <row r="37" spans="1:11" ht="15" thickBot="1">
      <c r="A37" s="1" t="s">
        <v>101</v>
      </c>
      <c r="B37" t="s">
        <v>17</v>
      </c>
      <c r="D37" s="29" t="str">
        <f>IFERROR(VLOOKUP(A37,'NextDC M1'!A:D,4,FALSE),"")</f>
        <v>No Date</v>
      </c>
      <c r="E37" s="3"/>
      <c r="G37" t="s">
        <v>25</v>
      </c>
      <c r="I37" t="s">
        <v>25</v>
      </c>
      <c r="K37" s="6" t="s">
        <v>102</v>
      </c>
    </row>
    <row r="38" spans="1:11" ht="15" thickBot="1">
      <c r="A38" s="1" t="s">
        <v>103</v>
      </c>
      <c r="B38" t="s">
        <v>17</v>
      </c>
      <c r="D38" s="29" t="str">
        <f>IFERROR(VLOOKUP(A38,'NextDC M1'!A:D,4,FALSE),"")</f>
        <v>No Date</v>
      </c>
      <c r="E38" s="3"/>
      <c r="G38" t="s">
        <v>25</v>
      </c>
      <c r="I38" t="s">
        <v>25</v>
      </c>
    </row>
    <row r="39" spans="1:11" ht="15" thickBot="1">
      <c r="A39" s="1" t="s">
        <v>104</v>
      </c>
      <c r="B39" t="s">
        <v>17</v>
      </c>
      <c r="D39" s="29" t="str">
        <f>IFERROR(VLOOKUP(A39,'NextDC M1'!A:D,4,FALSE),"")</f>
        <v>No Date</v>
      </c>
      <c r="E39" s="3"/>
      <c r="G39" t="s">
        <v>25</v>
      </c>
      <c r="I39" t="s">
        <v>25</v>
      </c>
    </row>
    <row r="40" spans="1:11" ht="15" thickBot="1">
      <c r="A40" s="1" t="s">
        <v>105</v>
      </c>
      <c r="B40" t="s">
        <v>17</v>
      </c>
      <c r="C40" t="s">
        <v>106</v>
      </c>
      <c r="D40" s="29" t="str">
        <f>IFERROR(VLOOKUP(A40,'NextDC M1'!A:D,4,FALSE),"")</f>
        <v>No Date</v>
      </c>
      <c r="E40" s="3">
        <v>1</v>
      </c>
      <c r="G40" t="s">
        <v>25</v>
      </c>
      <c r="I40" t="s">
        <v>25</v>
      </c>
    </row>
    <row r="41" spans="1:11" ht="15" thickBot="1">
      <c r="A41" s="1" t="s">
        <v>107</v>
      </c>
      <c r="B41" t="s">
        <v>17</v>
      </c>
      <c r="C41" t="s">
        <v>108</v>
      </c>
      <c r="D41" s="29">
        <f>IFERROR(VLOOKUP(A41,'NextDC M1'!A:D,4,FALSE),"")</f>
        <v>45910</v>
      </c>
      <c r="E41" s="3">
        <v>1</v>
      </c>
      <c r="F41" t="s">
        <v>67</v>
      </c>
      <c r="G41" t="s">
        <v>68</v>
      </c>
      <c r="H41" t="s">
        <v>69</v>
      </c>
      <c r="I41" t="s">
        <v>25</v>
      </c>
    </row>
    <row r="42" spans="1:11" ht="15" thickBot="1">
      <c r="A42" s="1" t="s">
        <v>109</v>
      </c>
      <c r="B42" t="s">
        <v>17</v>
      </c>
      <c r="C42" t="s">
        <v>110</v>
      </c>
      <c r="D42" s="29">
        <f>IFERROR(VLOOKUP(A42,'NextDC M1'!A:D,4,FALSE),"")</f>
        <v>45910</v>
      </c>
      <c r="E42" s="3">
        <v>1</v>
      </c>
      <c r="F42" t="s">
        <v>67</v>
      </c>
      <c r="G42" t="s">
        <v>68</v>
      </c>
      <c r="H42" t="s">
        <v>69</v>
      </c>
      <c r="I42" t="s">
        <v>25</v>
      </c>
    </row>
    <row r="43" spans="1:11" ht="15" thickBot="1">
      <c r="A43" s="1" t="s">
        <v>111</v>
      </c>
      <c r="B43" t="s">
        <v>17</v>
      </c>
      <c r="C43" t="s">
        <v>112</v>
      </c>
      <c r="D43" s="29">
        <f>IFERROR(VLOOKUP(A43,'NextDC M1'!A:D,4,FALSE),"")</f>
        <v>45905</v>
      </c>
      <c r="E43" s="3">
        <v>1</v>
      </c>
      <c r="F43" t="s">
        <v>113</v>
      </c>
      <c r="G43" t="s">
        <v>68</v>
      </c>
      <c r="H43" t="s">
        <v>61</v>
      </c>
      <c r="I43" t="s">
        <v>25</v>
      </c>
    </row>
    <row r="44" spans="1:11" ht="15" thickBot="1">
      <c r="A44" s="1" t="s">
        <v>114</v>
      </c>
      <c r="B44" t="s">
        <v>17</v>
      </c>
      <c r="D44" s="29">
        <f>IFERROR(VLOOKUP(A44,'NextDC M1'!A:D,4,FALSE),"")</f>
        <v>45905</v>
      </c>
      <c r="E44" s="3">
        <v>3</v>
      </c>
      <c r="F44" t="s">
        <v>113</v>
      </c>
      <c r="G44" t="s">
        <v>68</v>
      </c>
      <c r="H44" t="s">
        <v>61</v>
      </c>
      <c r="I44" t="s">
        <v>25</v>
      </c>
    </row>
    <row r="45" spans="1:11" ht="15" thickBot="1">
      <c r="A45" s="1" t="s">
        <v>115</v>
      </c>
      <c r="B45" t="s">
        <v>17</v>
      </c>
      <c r="D45" s="29" t="str">
        <f>IFERROR(VLOOKUP(A45,'NextDC M1'!A:D,4,FALSE),"")</f>
        <v>No Date</v>
      </c>
      <c r="E45" s="3"/>
      <c r="G45" t="s">
        <v>25</v>
      </c>
      <c r="I45" t="s">
        <v>25</v>
      </c>
    </row>
    <row r="46" spans="1:11" ht="15" thickBot="1">
      <c r="A46" s="1" t="s">
        <v>116</v>
      </c>
      <c r="B46" t="s">
        <v>17</v>
      </c>
      <c r="D46" s="29" t="str">
        <f>IFERROR(VLOOKUP(A46,'NextDC M1'!A:D,4,FALSE),"")</f>
        <v>No Date</v>
      </c>
      <c r="E46" s="3"/>
      <c r="G46" t="s">
        <v>25</v>
      </c>
      <c r="I46" t="s">
        <v>25</v>
      </c>
    </row>
    <row r="47" spans="1:11" ht="15" thickBot="1">
      <c r="A47" s="1" t="s">
        <v>117</v>
      </c>
      <c r="B47" t="s">
        <v>17</v>
      </c>
      <c r="C47" t="s">
        <v>118</v>
      </c>
      <c r="D47" s="29" t="str">
        <f>IFERROR(VLOOKUP(A47,'NextDC M1'!A:D,4,FALSE),"")</f>
        <v>No Date</v>
      </c>
      <c r="E47" s="3"/>
      <c r="G47" t="s">
        <v>25</v>
      </c>
      <c r="I47" t="s">
        <v>25</v>
      </c>
    </row>
    <row r="48" spans="1:11" ht="15" thickBot="1">
      <c r="A48" s="1" t="s">
        <v>119</v>
      </c>
      <c r="B48" t="s">
        <v>17</v>
      </c>
      <c r="D48" s="29" t="str">
        <f>IFERROR(VLOOKUP(A48,'NextDC M1'!A:D,4,FALSE),"")</f>
        <v>No Date</v>
      </c>
      <c r="E48" s="3"/>
      <c r="G48" t="s">
        <v>25</v>
      </c>
      <c r="I48" t="s">
        <v>25</v>
      </c>
    </row>
    <row r="49" spans="1:9" ht="15" thickBot="1">
      <c r="A49" s="1" t="s">
        <v>120</v>
      </c>
      <c r="B49" t="s">
        <v>17</v>
      </c>
      <c r="D49" s="29">
        <f>IFERROR(VLOOKUP(A49,'NextDC M1'!A:D,4,FALSE),"")</f>
        <v>46009</v>
      </c>
      <c r="E49" s="3">
        <v>2</v>
      </c>
      <c r="G49" t="s">
        <v>25</v>
      </c>
      <c r="I49" t="s">
        <v>25</v>
      </c>
    </row>
    <row r="50" spans="1:9" ht="15" thickBot="1">
      <c r="A50" s="1" t="s">
        <v>121</v>
      </c>
      <c r="B50" t="s">
        <v>17</v>
      </c>
      <c r="D50" s="29">
        <f>IFERROR(VLOOKUP(A50,'NextDC M1'!A:D,4,FALSE),"")</f>
        <v>46008</v>
      </c>
      <c r="E50" s="3">
        <v>2</v>
      </c>
      <c r="F50" t="s">
        <v>24</v>
      </c>
      <c r="G50" t="s">
        <v>19</v>
      </c>
      <c r="I50" t="s">
        <v>25</v>
      </c>
    </row>
    <row r="51" spans="1:9" ht="15" thickBot="1">
      <c r="A51" s="1" t="s">
        <v>122</v>
      </c>
      <c r="B51" t="s">
        <v>17</v>
      </c>
      <c r="C51" t="s">
        <v>123</v>
      </c>
      <c r="D51" s="29" t="str">
        <f>IFERROR(VLOOKUP(A51,'NextDC M1'!A:D,4,FALSE),"")</f>
        <v>No Date</v>
      </c>
      <c r="E51" s="3">
        <v>3</v>
      </c>
      <c r="G51" t="s">
        <v>25</v>
      </c>
      <c r="I51" t="s">
        <v>25</v>
      </c>
    </row>
    <row r="52" spans="1:9" ht="15" thickBot="1">
      <c r="A52" s="1" t="s">
        <v>124</v>
      </c>
      <c r="B52" t="s">
        <v>17</v>
      </c>
      <c r="D52" s="29" t="str">
        <f>IFERROR(VLOOKUP(A52,'NextDC M1'!A:D,4,FALSE),"")</f>
        <v>No Date</v>
      </c>
      <c r="E52" s="3"/>
      <c r="G52" t="s">
        <v>25</v>
      </c>
      <c r="I52" t="s">
        <v>25</v>
      </c>
    </row>
    <row r="53" spans="1:9" ht="15" thickBot="1">
      <c r="A53" s="1" t="s">
        <v>125</v>
      </c>
      <c r="B53" t="s">
        <v>17</v>
      </c>
      <c r="D53" s="29" t="str">
        <f>IFERROR(VLOOKUP(A53,'NextDC M1'!A:D,4,FALSE),"")</f>
        <v>No Date</v>
      </c>
      <c r="E53" s="3"/>
      <c r="G53" t="s">
        <v>25</v>
      </c>
      <c r="I53" t="s">
        <v>25</v>
      </c>
    </row>
    <row r="54" spans="1:9" ht="15" thickBot="1">
      <c r="A54" s="1" t="s">
        <v>126</v>
      </c>
      <c r="B54" t="s">
        <v>17</v>
      </c>
      <c r="D54" s="29" t="str">
        <f>IFERROR(VLOOKUP(A54,'NextDC M1'!A:D,4,FALSE),"")</f>
        <v>No Date</v>
      </c>
      <c r="E54" s="3"/>
      <c r="G54" t="s">
        <v>25</v>
      </c>
      <c r="I54" t="s">
        <v>25</v>
      </c>
    </row>
    <row r="55" spans="1:9" ht="15" thickBot="1">
      <c r="A55" s="1" t="s">
        <v>127</v>
      </c>
      <c r="B55" t="s">
        <v>17</v>
      </c>
      <c r="D55" s="29" t="str">
        <f>IFERROR(VLOOKUP(A55,'NextDC M1'!A:D,4,FALSE),"")</f>
        <v>No Date</v>
      </c>
      <c r="E55" s="3"/>
      <c r="G55" t="s">
        <v>25</v>
      </c>
      <c r="I55" t="s">
        <v>25</v>
      </c>
    </row>
    <row r="56" spans="1:9" ht="15" thickBot="1">
      <c r="A56" s="1" t="s">
        <v>128</v>
      </c>
      <c r="B56" t="s">
        <v>17</v>
      </c>
      <c r="D56" s="29" t="str">
        <f>IFERROR(VLOOKUP(A56,'NextDC M1'!A:D,4,FALSE),"")</f>
        <v>No Date</v>
      </c>
      <c r="E56" s="3"/>
      <c r="G56" t="s">
        <v>25</v>
      </c>
      <c r="I56" t="s">
        <v>25</v>
      </c>
    </row>
    <row r="57" spans="1:9" ht="15" thickBot="1">
      <c r="A57" s="1" t="s">
        <v>129</v>
      </c>
      <c r="B57" t="s">
        <v>17</v>
      </c>
      <c r="D57" s="29" t="str">
        <f>IFERROR(VLOOKUP(A57,'NextDC M1'!A:D,4,FALSE),"")</f>
        <v>No Date</v>
      </c>
      <c r="E57" s="3"/>
      <c r="G57" t="s">
        <v>25</v>
      </c>
      <c r="I57" t="s">
        <v>25</v>
      </c>
    </row>
    <row r="58" spans="1:9" ht="15" thickBot="1">
      <c r="A58" s="1" t="s">
        <v>130</v>
      </c>
      <c r="B58" t="s">
        <v>17</v>
      </c>
      <c r="D58" s="29" t="str">
        <f>IFERROR(VLOOKUP(A58,'NextDC M1'!A:D,4,FALSE),"")</f>
        <v>No Date</v>
      </c>
      <c r="E58" s="3"/>
      <c r="G58" t="s">
        <v>25</v>
      </c>
      <c r="I58" t="s">
        <v>25</v>
      </c>
    </row>
    <row r="59" spans="1:9" ht="15" thickBot="1">
      <c r="A59" s="1" t="s">
        <v>131</v>
      </c>
      <c r="B59" t="s">
        <v>17</v>
      </c>
      <c r="D59" s="29" t="str">
        <f>IFERROR(VLOOKUP(A59,'NextDC M1'!A:D,4,FALSE),"")</f>
        <v>No Date</v>
      </c>
      <c r="E59" s="3"/>
      <c r="G59" t="s">
        <v>25</v>
      </c>
      <c r="I59" t="s">
        <v>25</v>
      </c>
    </row>
    <row r="60" spans="1:9" ht="15" thickBot="1">
      <c r="A60" s="1" t="s">
        <v>132</v>
      </c>
      <c r="B60" t="s">
        <v>17</v>
      </c>
      <c r="D60" s="29" t="str">
        <f>IFERROR(VLOOKUP(A60,'NextDC M1'!A:D,4,FALSE),"")</f>
        <v>No Date</v>
      </c>
      <c r="E60" s="3"/>
      <c r="G60" t="s">
        <v>25</v>
      </c>
      <c r="I60" t="s">
        <v>25</v>
      </c>
    </row>
    <row r="61" spans="1:9" ht="15" thickBot="1">
      <c r="A61" s="1" t="s">
        <v>133</v>
      </c>
      <c r="B61" t="s">
        <v>17</v>
      </c>
      <c r="D61" s="29" t="str">
        <f>IFERROR(VLOOKUP(A61,'NextDC M1'!A:D,4,FALSE),"")</f>
        <v>No Date</v>
      </c>
      <c r="E61" s="3"/>
      <c r="G61" t="s">
        <v>25</v>
      </c>
      <c r="I61" t="s">
        <v>25</v>
      </c>
    </row>
    <row r="62" spans="1:9" ht="15" thickBot="1">
      <c r="A62" s="1" t="s">
        <v>134</v>
      </c>
      <c r="B62" t="s">
        <v>17</v>
      </c>
      <c r="C62" t="s">
        <v>135</v>
      </c>
      <c r="D62" s="29" t="str">
        <f>IFERROR(VLOOKUP(A62,'NextDC M1'!A:D,4,FALSE),"")</f>
        <v>No Date</v>
      </c>
      <c r="E62" s="3">
        <v>2</v>
      </c>
      <c r="G62" t="s">
        <v>25</v>
      </c>
      <c r="I62" t="s">
        <v>25</v>
      </c>
    </row>
    <row r="63" spans="1:9" ht="15" thickBot="1">
      <c r="A63" s="1" t="s">
        <v>136</v>
      </c>
      <c r="B63" t="s">
        <v>17</v>
      </c>
      <c r="C63" t="s">
        <v>137</v>
      </c>
      <c r="D63" s="29" t="str">
        <f>IFERROR(VLOOKUP(A63,'NextDC M1'!A:D,4,FALSE),"")</f>
        <v>No Date</v>
      </c>
      <c r="E63" s="3">
        <v>3</v>
      </c>
      <c r="G63" t="s">
        <v>25</v>
      </c>
      <c r="I63" t="s">
        <v>25</v>
      </c>
    </row>
    <row r="64" spans="1:9" ht="15" thickBot="1">
      <c r="A64" s="1" t="s">
        <v>138</v>
      </c>
      <c r="B64" t="s">
        <v>17</v>
      </c>
      <c r="D64" s="29" t="str">
        <f>IFERROR(VLOOKUP(A64,'NextDC M1'!A:D,4,FALSE),"")</f>
        <v>No Date</v>
      </c>
      <c r="E64" s="3"/>
      <c r="G64" t="s">
        <v>25</v>
      </c>
      <c r="I64" t="s">
        <v>25</v>
      </c>
    </row>
    <row r="65" spans="1:9" ht="15" thickBot="1">
      <c r="A65" s="1" t="s">
        <v>139</v>
      </c>
      <c r="B65" t="s">
        <v>17</v>
      </c>
      <c r="D65" s="29" t="str">
        <f>IFERROR(VLOOKUP(A65,'NextDC M1'!A:D,4,FALSE),"")</f>
        <v>No Date</v>
      </c>
      <c r="E65" s="3"/>
      <c r="G65" t="s">
        <v>25</v>
      </c>
      <c r="I65" t="s">
        <v>25</v>
      </c>
    </row>
    <row r="66" spans="1:9" ht="15" thickBot="1">
      <c r="A66" s="1" t="s">
        <v>140</v>
      </c>
      <c r="B66" t="s">
        <v>17</v>
      </c>
      <c r="C66" t="s">
        <v>141</v>
      </c>
      <c r="D66" s="29">
        <f>IFERROR(VLOOKUP(A66,'NextDC M1'!A:D,4,FALSE),"")</f>
        <v>46029</v>
      </c>
      <c r="E66" s="3">
        <v>2</v>
      </c>
      <c r="F66" t="s">
        <v>24</v>
      </c>
      <c r="G66" t="s">
        <v>25</v>
      </c>
      <c r="I66" t="s">
        <v>25</v>
      </c>
    </row>
    <row r="67" spans="1:9" ht="15" thickBot="1">
      <c r="A67" s="1" t="s">
        <v>142</v>
      </c>
      <c r="B67" t="s">
        <v>17</v>
      </c>
      <c r="C67" t="s">
        <v>143</v>
      </c>
      <c r="D67" s="29">
        <f>IFERROR(VLOOKUP(A67,'NextDC M1'!A:D,4,FALSE),"")</f>
        <v>45981</v>
      </c>
      <c r="E67" s="3">
        <v>3</v>
      </c>
      <c r="G67" t="s">
        <v>25</v>
      </c>
      <c r="H67" t="s">
        <v>144</v>
      </c>
      <c r="I67" t="s">
        <v>25</v>
      </c>
    </row>
    <row r="68" spans="1:9" ht="15" thickBot="1">
      <c r="A68" s="1" t="s">
        <v>145</v>
      </c>
      <c r="B68" t="s">
        <v>17</v>
      </c>
      <c r="C68" t="s">
        <v>146</v>
      </c>
      <c r="D68" s="29">
        <f>IFERROR(VLOOKUP(A68,'NextDC M1'!A:D,4,FALSE),"")</f>
        <v>45975</v>
      </c>
      <c r="E68" s="3">
        <v>1</v>
      </c>
      <c r="F68" t="s">
        <v>113</v>
      </c>
      <c r="G68" t="s">
        <v>25</v>
      </c>
      <c r="I68" t="s">
        <v>25</v>
      </c>
    </row>
    <row r="69" spans="1:9" ht="15" thickBot="1">
      <c r="A69" s="1" t="s">
        <v>147</v>
      </c>
      <c r="B69" t="s">
        <v>17</v>
      </c>
      <c r="C69" t="s">
        <v>148</v>
      </c>
      <c r="D69" s="29">
        <f>IFERROR(VLOOKUP(A69,'NextDC M1'!A:D,4,FALSE),"")</f>
        <v>45981</v>
      </c>
      <c r="E69" s="3">
        <v>3</v>
      </c>
      <c r="G69" t="s">
        <v>25</v>
      </c>
      <c r="H69" t="s">
        <v>144</v>
      </c>
      <c r="I69" t="s">
        <v>25</v>
      </c>
    </row>
    <row r="70" spans="1:9" ht="15" thickBot="1">
      <c r="A70" s="1" t="s">
        <v>149</v>
      </c>
      <c r="B70" t="s">
        <v>17</v>
      </c>
      <c r="C70" t="s">
        <v>150</v>
      </c>
      <c r="D70" s="29">
        <f>IFERROR(VLOOKUP(A70,'NextDC M1'!A:D,4,FALSE),"")</f>
        <v>45975</v>
      </c>
      <c r="E70" s="3">
        <v>1</v>
      </c>
      <c r="F70" t="s">
        <v>113</v>
      </c>
      <c r="G70" t="s">
        <v>25</v>
      </c>
      <c r="I70" t="s">
        <v>25</v>
      </c>
    </row>
    <row r="71" spans="1:9">
      <c r="A71" s="1" t="s">
        <v>151</v>
      </c>
      <c r="B71" t="s">
        <v>17</v>
      </c>
      <c r="C71" t="s">
        <v>152</v>
      </c>
      <c r="D71" s="29">
        <f>IFERROR(VLOOKUP(A71,'NextDC M1'!A:D,4,FALSE),"")</f>
        <v>45981</v>
      </c>
      <c r="E71" s="3">
        <v>1</v>
      </c>
      <c r="F71" s="17" t="s">
        <v>113</v>
      </c>
      <c r="G71" t="s">
        <v>25</v>
      </c>
      <c r="H71" t="s">
        <v>153</v>
      </c>
      <c r="I71" t="s">
        <v>25</v>
      </c>
    </row>
    <row r="72" spans="1:9">
      <c r="A72" s="1" t="s">
        <v>154</v>
      </c>
      <c r="B72" t="s">
        <v>17</v>
      </c>
      <c r="C72" t="s">
        <v>155</v>
      </c>
      <c r="D72" s="29">
        <f>IFERROR(VLOOKUP(A72,'NextDC M1'!A:D,4,FALSE),"")</f>
        <v>45981</v>
      </c>
      <c r="E72" s="3">
        <v>1</v>
      </c>
      <c r="F72" s="17" t="s">
        <v>113</v>
      </c>
      <c r="G72" t="s">
        <v>25</v>
      </c>
      <c r="H72" t="s">
        <v>153</v>
      </c>
      <c r="I72" t="s">
        <v>25</v>
      </c>
    </row>
    <row r="73" spans="1:9" ht="15" thickBot="1">
      <c r="A73" s="1" t="s">
        <v>156</v>
      </c>
      <c r="B73" t="s">
        <v>17</v>
      </c>
      <c r="C73" t="s">
        <v>157</v>
      </c>
      <c r="D73" s="29">
        <f>IFERROR(VLOOKUP(A73,'NextDC M1'!A:D,4,FALSE),"")</f>
        <v>45910</v>
      </c>
      <c r="E73" s="3">
        <v>2</v>
      </c>
      <c r="F73" t="s">
        <v>67</v>
      </c>
      <c r="G73" t="s">
        <v>25</v>
      </c>
      <c r="H73" t="s">
        <v>69</v>
      </c>
      <c r="I73" t="s">
        <v>25</v>
      </c>
    </row>
    <row r="74" spans="1:9" ht="15" thickBot="1">
      <c r="A74" s="1" t="s">
        <v>158</v>
      </c>
      <c r="B74" t="s">
        <v>17</v>
      </c>
      <c r="C74" t="s">
        <v>157</v>
      </c>
      <c r="D74" s="29">
        <f>IFERROR(VLOOKUP(A74,'NextDC M1'!A:D,4,FALSE),"")</f>
        <v>45910</v>
      </c>
      <c r="E74" s="3">
        <v>2</v>
      </c>
      <c r="F74" t="s">
        <v>67</v>
      </c>
      <c r="G74" t="s">
        <v>25</v>
      </c>
      <c r="H74" t="s">
        <v>69</v>
      </c>
      <c r="I74" t="s">
        <v>25</v>
      </c>
    </row>
    <row r="75" spans="1:9" ht="15" thickBot="1">
      <c r="A75" s="1" t="s">
        <v>159</v>
      </c>
      <c r="B75" t="s">
        <v>17</v>
      </c>
      <c r="C75" t="s">
        <v>157</v>
      </c>
      <c r="D75" s="29">
        <f>IFERROR(VLOOKUP(A75,'NextDC M1'!A:D,4,FALSE),"")</f>
        <v>45910</v>
      </c>
      <c r="E75" s="3">
        <v>2</v>
      </c>
      <c r="F75" t="s">
        <v>67</v>
      </c>
      <c r="G75" t="s">
        <v>25</v>
      </c>
      <c r="H75" t="s">
        <v>69</v>
      </c>
      <c r="I75" t="s">
        <v>25</v>
      </c>
    </row>
    <row r="76" spans="1:9" ht="15" thickBot="1">
      <c r="A76" s="1" t="s">
        <v>160</v>
      </c>
      <c r="B76" t="s">
        <v>17</v>
      </c>
      <c r="C76" t="s">
        <v>161</v>
      </c>
      <c r="D76" s="29">
        <f>IFERROR(VLOOKUP(A76,'NextDC M1'!A:D,4,FALSE),"")</f>
        <v>45909</v>
      </c>
      <c r="E76" s="3">
        <v>2</v>
      </c>
      <c r="F76" t="s">
        <v>67</v>
      </c>
      <c r="G76" t="s">
        <v>25</v>
      </c>
      <c r="H76" t="s">
        <v>69</v>
      </c>
      <c r="I76" t="s">
        <v>25</v>
      </c>
    </row>
    <row r="77" spans="1:9" ht="15" thickBot="1">
      <c r="A77" s="1" t="s">
        <v>162</v>
      </c>
      <c r="B77" t="s">
        <v>17</v>
      </c>
      <c r="C77" t="s">
        <v>157</v>
      </c>
      <c r="D77" s="29">
        <f>IFERROR(VLOOKUP(A77,'NextDC M1'!A:D,4,FALSE),"")</f>
        <v>45910</v>
      </c>
      <c r="E77" s="3">
        <v>2</v>
      </c>
      <c r="F77" t="s">
        <v>67</v>
      </c>
      <c r="G77" t="s">
        <v>25</v>
      </c>
      <c r="H77" t="s">
        <v>69</v>
      </c>
      <c r="I77" t="s">
        <v>25</v>
      </c>
    </row>
    <row r="78" spans="1:9" ht="15" thickBot="1">
      <c r="A78" s="1" t="s">
        <v>163</v>
      </c>
      <c r="B78" t="s">
        <v>17</v>
      </c>
      <c r="C78" t="s">
        <v>157</v>
      </c>
      <c r="D78" s="29">
        <f>IFERROR(VLOOKUP(A78,'NextDC M1'!A:D,4,FALSE),"")</f>
        <v>45910</v>
      </c>
      <c r="E78" s="3">
        <v>2</v>
      </c>
      <c r="F78" t="s">
        <v>67</v>
      </c>
      <c r="G78" t="s">
        <v>25</v>
      </c>
      <c r="H78" t="s">
        <v>69</v>
      </c>
      <c r="I78" t="s">
        <v>25</v>
      </c>
    </row>
    <row r="79" spans="1:9" ht="15" thickBot="1">
      <c r="A79" s="1" t="s">
        <v>164</v>
      </c>
      <c r="B79" t="s">
        <v>17</v>
      </c>
      <c r="C79" t="s">
        <v>157</v>
      </c>
      <c r="D79" s="29">
        <f>IFERROR(VLOOKUP(A79,'NextDC M1'!A:D,4,FALSE),"")</f>
        <v>45910</v>
      </c>
      <c r="E79" s="3">
        <v>2</v>
      </c>
      <c r="F79" t="s">
        <v>67</v>
      </c>
      <c r="G79" t="s">
        <v>25</v>
      </c>
      <c r="H79" t="s">
        <v>69</v>
      </c>
      <c r="I79" t="s">
        <v>25</v>
      </c>
    </row>
    <row r="80" spans="1:9" ht="15" thickBot="1">
      <c r="A80" s="1" t="s">
        <v>165</v>
      </c>
      <c r="B80" t="s">
        <v>17</v>
      </c>
      <c r="C80" t="s">
        <v>157</v>
      </c>
      <c r="D80" s="29">
        <f>IFERROR(VLOOKUP(A80,'NextDC M1'!A:D,4,FALSE),"")</f>
        <v>46023</v>
      </c>
      <c r="E80" s="3">
        <v>2</v>
      </c>
      <c r="F80" t="s">
        <v>67</v>
      </c>
      <c r="G80" t="s">
        <v>25</v>
      </c>
      <c r="H80" t="s">
        <v>69</v>
      </c>
      <c r="I80" t="s">
        <v>25</v>
      </c>
    </row>
    <row r="81" spans="1:9" ht="15" thickBot="1">
      <c r="A81" s="1" t="s">
        <v>166</v>
      </c>
      <c r="B81" t="s">
        <v>17</v>
      </c>
      <c r="C81" t="s">
        <v>167</v>
      </c>
      <c r="D81" s="29" t="str">
        <f>IFERROR(VLOOKUP(A81,'NextDC M1'!A:D,4,FALSE),"")</f>
        <v>No Date</v>
      </c>
      <c r="E81" s="3">
        <v>3</v>
      </c>
      <c r="G81" t="s">
        <v>25</v>
      </c>
      <c r="I81" t="s">
        <v>25</v>
      </c>
    </row>
    <row r="82" spans="1:9" ht="15" thickBot="1">
      <c r="A82" s="1" t="s">
        <v>168</v>
      </c>
      <c r="B82" t="s">
        <v>17</v>
      </c>
      <c r="D82" s="29" t="str">
        <f>IFERROR(VLOOKUP(A82,'NextDC M1'!A:D,4,FALSE),"")</f>
        <v>No Date</v>
      </c>
      <c r="E82" s="3"/>
      <c r="G82" t="s">
        <v>25</v>
      </c>
      <c r="I82" t="s">
        <v>25</v>
      </c>
    </row>
    <row r="83" spans="1:9" ht="15" thickBot="1">
      <c r="A83" s="1" t="s">
        <v>169</v>
      </c>
      <c r="B83" t="s">
        <v>17</v>
      </c>
      <c r="D83" s="29">
        <f>IFERROR(VLOOKUP(A83,'NextDC M1'!A:D,4,FALSE),"")</f>
        <v>46031</v>
      </c>
      <c r="E83" s="3"/>
      <c r="G83" t="s">
        <v>25</v>
      </c>
      <c r="I83" t="s">
        <v>25</v>
      </c>
    </row>
    <row r="84" spans="1:9" ht="15" thickBot="1">
      <c r="A84" s="1" t="s">
        <v>170</v>
      </c>
      <c r="B84" t="s">
        <v>17</v>
      </c>
      <c r="D84" s="29" t="str">
        <f>IFERROR(VLOOKUP(A84,'NextDC M1'!A:D,4,FALSE),"")</f>
        <v>No Date</v>
      </c>
      <c r="E84" s="3"/>
      <c r="G84" t="s">
        <v>25</v>
      </c>
      <c r="I84" t="s">
        <v>25</v>
      </c>
    </row>
    <row r="85" spans="1:9" ht="15" thickBot="1">
      <c r="A85" s="1" t="s">
        <v>171</v>
      </c>
      <c r="B85" t="s">
        <v>17</v>
      </c>
      <c r="C85" t="s">
        <v>172</v>
      </c>
      <c r="D85" s="29" t="str">
        <f>IFERROR(VLOOKUP(A85,'NextDC M1'!A:D,4,FALSE),"")</f>
        <v>No Date</v>
      </c>
      <c r="E85" s="3">
        <v>3</v>
      </c>
      <c r="G85" t="s">
        <v>25</v>
      </c>
      <c r="I85" t="s">
        <v>25</v>
      </c>
    </row>
    <row r="86" spans="1:9" ht="15" thickBot="1">
      <c r="A86" s="1" t="s">
        <v>173</v>
      </c>
      <c r="B86" t="s">
        <v>17</v>
      </c>
      <c r="C86" t="s">
        <v>174</v>
      </c>
      <c r="D86" s="29" t="str">
        <f>IFERROR(VLOOKUP(A86,'NextDC M1'!A:D,4,FALSE),"")</f>
        <v>No Date</v>
      </c>
      <c r="E86" s="3">
        <v>3</v>
      </c>
      <c r="G86" t="s">
        <v>25</v>
      </c>
      <c r="I86" t="s">
        <v>25</v>
      </c>
    </row>
    <row r="87" spans="1:9" ht="15" thickBot="1">
      <c r="A87" s="1" t="s">
        <v>175</v>
      </c>
      <c r="B87" t="s">
        <v>17</v>
      </c>
      <c r="C87" t="s">
        <v>174</v>
      </c>
      <c r="D87" s="29" t="str">
        <f>IFERROR(VLOOKUP(A87,'NextDC M1'!A:D,4,FALSE),"")</f>
        <v>No Date</v>
      </c>
      <c r="E87" s="3">
        <v>3</v>
      </c>
      <c r="G87" t="s">
        <v>25</v>
      </c>
      <c r="I87" t="s">
        <v>25</v>
      </c>
    </row>
    <row r="88" spans="1:9" ht="15" thickBot="1">
      <c r="A88" s="1" t="s">
        <v>176</v>
      </c>
      <c r="B88" t="s">
        <v>17</v>
      </c>
      <c r="C88" t="s">
        <v>177</v>
      </c>
      <c r="D88" s="29" t="str">
        <f>IFERROR(VLOOKUP(A88,'NextDC M1'!A:D,4,FALSE),"")</f>
        <v>No Date</v>
      </c>
      <c r="E88" s="3">
        <v>3</v>
      </c>
      <c r="G88" t="s">
        <v>25</v>
      </c>
      <c r="I88" t="s">
        <v>25</v>
      </c>
    </row>
    <row r="89" spans="1:9" ht="15" thickBot="1">
      <c r="A89" s="1" t="s">
        <v>178</v>
      </c>
      <c r="B89" t="s">
        <v>17</v>
      </c>
      <c r="C89" t="s">
        <v>179</v>
      </c>
      <c r="D89" s="29" t="str">
        <f>IFERROR(VLOOKUP(A89,'NextDC M1'!A:D,4,FALSE),"")</f>
        <v>No Date</v>
      </c>
      <c r="E89" s="3">
        <v>3</v>
      </c>
      <c r="G89" t="s">
        <v>25</v>
      </c>
      <c r="I89" t="s">
        <v>25</v>
      </c>
    </row>
    <row r="90" spans="1:9" ht="15" thickBot="1">
      <c r="A90" s="1" t="s">
        <v>180</v>
      </c>
      <c r="B90" t="s">
        <v>17</v>
      </c>
      <c r="C90" t="s">
        <v>181</v>
      </c>
      <c r="D90" s="29" t="str">
        <f>IFERROR(VLOOKUP(A90,'NextDC M1'!A:D,4,FALSE),"")</f>
        <v>No Date</v>
      </c>
      <c r="E90" s="3">
        <v>3</v>
      </c>
      <c r="G90" t="s">
        <v>25</v>
      </c>
      <c r="I90" t="s">
        <v>25</v>
      </c>
    </row>
    <row r="91" spans="1:9" ht="15" thickBot="1">
      <c r="A91" s="1" t="s">
        <v>182</v>
      </c>
      <c r="B91" t="s">
        <v>17</v>
      </c>
      <c r="D91" s="29" t="str">
        <f>IFERROR(VLOOKUP(A91,'NextDC M1'!A:D,4,FALSE),"")</f>
        <v>No Date</v>
      </c>
      <c r="E91" s="3"/>
      <c r="G91" t="s">
        <v>25</v>
      </c>
      <c r="I91" t="s">
        <v>25</v>
      </c>
    </row>
    <row r="92" spans="1:9">
      <c r="D92" s="29"/>
      <c r="E92" s="3"/>
      <c r="G92"/>
    </row>
    <row r="93" spans="1:9">
      <c r="D93" s="29"/>
      <c r="E93" s="3"/>
      <c r="G93"/>
    </row>
    <row r="94" spans="1:9">
      <c r="D94" s="29"/>
      <c r="E94" s="3"/>
      <c r="G94"/>
    </row>
    <row r="95" spans="1:9">
      <c r="D95" s="29"/>
      <c r="E95" s="3"/>
      <c r="G95"/>
    </row>
    <row r="96" spans="1:9">
      <c r="D96" s="29"/>
      <c r="E96" s="3"/>
      <c r="G96"/>
    </row>
    <row r="97" spans="4:7">
      <c r="D97" s="29"/>
      <c r="E97" s="3"/>
      <c r="G97"/>
    </row>
    <row r="98" spans="4:7">
      <c r="D98" s="29"/>
      <c r="E98" s="3"/>
      <c r="G98"/>
    </row>
    <row r="99" spans="4:7">
      <c r="D99" s="29"/>
      <c r="E99" s="3"/>
      <c r="G99"/>
    </row>
    <row r="100" spans="4:7">
      <c r="D100" s="29"/>
      <c r="E100" s="3"/>
      <c r="G100"/>
    </row>
    <row r="101" spans="4:7">
      <c r="D101" s="29"/>
      <c r="E101" s="3"/>
      <c r="G101"/>
    </row>
    <row r="102" spans="4:7">
      <c r="D102" s="29"/>
      <c r="E102" s="3"/>
      <c r="G102"/>
    </row>
    <row r="103" spans="4:7">
      <c r="D103" s="29"/>
    </row>
  </sheetData>
  <phoneticPr fontId="3" type="noConversion"/>
  <conditionalFormatting sqref="D7">
    <cfRule type="expression" dxfId="2" priority="3">
      <formula>AND($A2=2, DATEDIF(INDIRECT("Schedule!C"&amp;ROW()+8), TODAY(), "m") &gt; 6)</formula>
    </cfRule>
    <cfRule type="expression" dxfId="1" priority="4">
      <formula>AND(DATEDIF(INDIRECT("Schedule!C"&amp;ROW()+8), TODAY(), "m") &gt; 3, DATEDIF(INDIRECT("Schedule!C"&amp;ROW()+8), TODAY(), "m") &lt;= 6)</formula>
    </cfRule>
    <cfRule type="expression" dxfId="0" priority="5">
      <formula>DATEDIF(INDIRECT("Schedule!C"&amp;ROW()+8), TODAY(), "m") &lt;= 3</formula>
    </cfRule>
  </conditionalFormatting>
  <hyperlinks>
    <hyperlink ref="H17" r:id="rId1" display="bgsc@beaconlighting.com.au" xr:uid="{6431B86B-9F98-43AD-972F-02359264F870}"/>
    <hyperlink ref="H18" r:id="rId2" display="bgsc@beaconlighting.com.au" xr:uid="{9A6D0106-EF42-4947-9C98-E7F8DD533915}"/>
    <hyperlink ref="H19" r:id="rId3" display="bgsc@beaconlighting.com.au" xr:uid="{87F9E94B-7064-4F4A-83FF-C3949541375A}"/>
    <hyperlink ref="H16" r:id="rId4" display="bgsc@beaconlighting.com.au" xr:uid="{E56ED62E-4A7D-4989-9257-DA1AE6D094FB}"/>
  </hyperlinks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18588FCC6A8408C7EC9FDAFFDA5F8" ma:contentTypeVersion="11" ma:contentTypeDescription="Create a new document." ma:contentTypeScope="" ma:versionID="83b53ee71e127ad212edc87c06c0a440">
  <xsd:schema xmlns:xsd="http://www.w3.org/2001/XMLSchema" xmlns:xs="http://www.w3.org/2001/XMLSchema" xmlns:p="http://schemas.microsoft.com/office/2006/metadata/properties" xmlns:ns2="58a8ee00-2a41-4aaf-b77a-7123a271dbbe" xmlns:ns3="9d3fbe52-a768-4db6-8208-4bacd137c9b1" targetNamespace="http://schemas.microsoft.com/office/2006/metadata/properties" ma:root="true" ma:fieldsID="1ba7c957aa5357d854a527f970a04491" ns2:_="" ns3:_="">
    <xsd:import namespace="58a8ee00-2a41-4aaf-b77a-7123a271dbbe"/>
    <xsd:import namespace="9d3fbe52-a768-4db6-8208-4bacd137c9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a8ee00-2a41-4aaf-b77a-7123a271db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5d86c6-ac2e-4800-a29a-41287a0b7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3fbe52-a768-4db6-8208-4bacd137c9b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a461f8-f093-497c-91b1-4d4e21aa8012}" ma:internalName="TaxCatchAll" ma:showField="CatchAllData" ma:web="9d3fbe52-a768-4db6-8208-4bacd137c9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3fbe52-a768-4db6-8208-4bacd137c9b1" xsi:nil="true"/>
    <lcf76f155ced4ddcb4097134ff3c332f xmlns="58a8ee00-2a41-4aaf-b77a-7123a271db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9FB7D7-60E2-4F14-BA14-FA66AD069A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a8ee00-2a41-4aaf-b77a-7123a271dbbe"/>
    <ds:schemaRef ds:uri="9d3fbe52-a768-4db6-8208-4bacd137c9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C61811-D331-40F0-B1D8-AB5B8689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A9A5F1-52AF-4A27-B156-2E9795621187}">
  <ds:schemaRefs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9d3fbe52-a768-4db6-8208-4bacd137c9b1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58a8ee00-2a41-4aaf-b77a-7123a271db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Dashboard</vt:lpstr>
      <vt:lpstr>Master Servers</vt:lpstr>
      <vt:lpstr>Settings</vt:lpstr>
      <vt:lpstr>Applications</vt:lpstr>
      <vt:lpstr>NextDC M1</vt:lpstr>
      <vt:lpstr>Legacy_Server list</vt:lpstr>
      <vt:lpstr>ClusterList</vt:lpstr>
      <vt:lpstr>ImpactList</vt:lpstr>
      <vt:lpstr>MasterServerData</vt:lpstr>
      <vt:lpstr>MasterServerList</vt:lpstr>
      <vt:lpstr>MasterStatusData</vt:lpstr>
      <vt:lpstr>PriorityList</vt:lpstr>
      <vt:lpstr>PriorityTable</vt:lpstr>
      <vt:lpstr>TeamList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Lim</dc:creator>
  <cp:keywords/>
  <dc:description/>
  <cp:lastModifiedBy>Ryan Lim</cp:lastModifiedBy>
  <cp:revision/>
  <dcterms:created xsi:type="dcterms:W3CDTF">2025-09-10T01:43:23Z</dcterms:created>
  <dcterms:modified xsi:type="dcterms:W3CDTF">2026-01-09T02:01:40Z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0x010100E8318588FCC6A8408C7EC9FDAFFDA5F8</vt:lpwstr>
  </property>
  <property fmtid="{D5CDD505-2E9C-101B-9397-08002B2CF9AE}" pid="3" name="MediaServiceImageTags">
    <vt:lpwstr/>
  </property>
</Properties>
</file>